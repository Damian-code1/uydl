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emes (AREDL)" sheetId="1" r:id="rId5"/>
    <sheet state="visible" name="Top 15 Players" sheetId="2" r:id="rId6"/>
    <sheet state="hidden" name="Hoja 6" sheetId="3" r:id="rId7"/>
    <sheet state="hidden" name="Copia de Extremes (AREDL)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6">
      <text>
        <t xml:space="preserve">No disponible</t>
      </text>
    </comment>
    <comment authorId="0" ref="E25">
      <text>
        <t xml:space="preserve">1.1x speedhack</t>
      </text>
    </comment>
    <comment authorId="0" ref="E32">
      <text>
        <t xml:space="preserve">No disponible</t>
      </text>
    </comment>
    <comment authorId="0" ref="E34">
      <text>
        <t xml:space="preserve">No disponible</t>
      </text>
    </comment>
    <comment authorId="0" ref="E36">
      <text>
        <t xml:space="preserve">No disponible</t>
      </text>
    </comment>
    <comment authorId="0" ref="E60">
      <text>
        <t xml:space="preserve">No disponible</t>
      </text>
    </comment>
    <comment authorId="0" ref="L69">
      <text>
        <t xml:space="preserve">Michigun route</t>
      </text>
    </comment>
    <comment authorId="0" ref="N69">
      <text>
        <t xml:space="preserve">No disponible</t>
      </text>
    </comment>
    <comment authorId="0" ref="R69">
      <text>
        <t xml:space="preserve">Rebeat, completado originalmente en julio de 2023 (entre Corews y LunatikSick)</t>
      </text>
    </comment>
    <comment authorId="0" ref="E106">
      <text>
        <t xml:space="preserve">versión vieja antes de los buffs</t>
      </text>
    </comment>
    <comment authorId="0" ref="E136">
      <text>
        <t xml:space="preserve">rebeat en el que se escuchan mejor los clicks:
https://youtu.be/eo2J_-IxZlU?si=zycsgA46lCyAhflu</t>
      </text>
    </comment>
    <comment authorId="0" ref="J155">
      <text>
        <t xml:space="preserve">rebeat en el que se escuchan mejor los clicks:
https://youtu.be/M9wEmVnejzo</t>
      </text>
    </comment>
    <comment authorId="0" ref="M155">
      <text>
        <t xml:space="preserve">No disponible</t>
      </text>
    </comment>
    <comment authorId="0" ref="N155">
      <text>
        <t xml:space="preserve">Rebeat, completado originalmente en 2022 (entre Skyllz y Andres Beltran)</t>
      </text>
    </comment>
    <comment authorId="0" ref="S155">
      <text>
        <t xml:space="preserve">Borrado, rebeat más reciente:
https://www.youtube.com/watch?v=VWmXWIAiiZo</t>
      </text>
    </comment>
    <comment authorId="0" ref="T155">
      <text>
        <t xml:space="preserve">No disponible</t>
      </text>
    </comment>
    <comment authorId="0" ref="AF155">
      <text>
        <t xml:space="preserve">https://youtu.be/1wNitkfG9Rc
</t>
      </text>
    </comment>
    <comment authorId="0" ref="E158">
      <text>
        <t xml:space="preserve">No disponible</t>
      </text>
    </comment>
    <comment authorId="0" ref="F160">
      <text>
        <t xml:space="preserve">No disponible</t>
      </text>
    </comment>
    <comment authorId="0" ref="N174">
      <text>
        <t xml:space="preserve">Rebeat, completado originalmente en abril de 2023 (entre DoYouself y LunatikSick)</t>
      </text>
    </comment>
    <comment authorId="0" ref="T174">
      <text>
        <t xml:space="preserve">Rebeat, completado originalmente en agosto de 2020 sin clicks
https://www.youtube.com/watch?v=YKxQp3XIAcs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Many completions deleted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4">
      <text>
        <t xml:space="preserve">No disponible</t>
      </text>
    </comment>
    <comment authorId="0" ref="E23">
      <text>
        <t xml:space="preserve">1.1x speedhack</t>
      </text>
    </comment>
    <comment authorId="0" ref="E30">
      <text>
        <t xml:space="preserve">No disponible</t>
      </text>
    </comment>
    <comment authorId="0" ref="E32">
      <text>
        <t xml:space="preserve">No disponible</t>
      </text>
    </comment>
    <comment authorId="0" ref="E33">
      <text>
        <t xml:space="preserve">No disponible</t>
      </text>
    </comment>
    <comment authorId="0" ref="E56">
      <text>
        <t xml:space="preserve">No disponible</t>
      </text>
    </comment>
    <comment authorId="0" ref="M67">
      <text>
        <t xml:space="preserve">Michigun route</t>
      </text>
    </comment>
    <comment authorId="0" ref="O67">
      <text>
        <t xml:space="preserve">No disponible</t>
      </text>
    </comment>
    <comment authorId="0" ref="S67">
      <text>
        <t xml:space="preserve">Rebeat, completado originalmente en julio de 2023 (entre Corews y LunatikSick)</t>
      </text>
    </comment>
    <comment authorId="0" ref="E98">
      <text>
        <t xml:space="preserve">versión vieja antes de los buffs</t>
      </text>
    </comment>
    <comment authorId="0" ref="E127">
      <text>
        <t xml:space="preserve">rebeat en el que se escuchan mejor los clicks:
https://youtu.be/eo2J_-IxZlU?si=zycsgA46lCyAhflu</t>
      </text>
    </comment>
    <comment authorId="0" ref="G140">
      <text>
        <t xml:space="preserve">No disponible</t>
      </text>
    </comment>
    <comment authorId="0" ref="K147">
      <text>
        <t xml:space="preserve">rebeat en el que se escuchan mejor los clicks:
https://youtu.be/M9wEmVnejzo</t>
      </text>
    </comment>
    <comment authorId="0" ref="N147">
      <text>
        <t xml:space="preserve">No disponible</t>
      </text>
    </comment>
    <comment authorId="0" ref="O147">
      <text>
        <t xml:space="preserve">Rebeat, completado originalmente en 2022 (entre Skyllz y Andres Beltran)</t>
      </text>
    </comment>
    <comment authorId="0" ref="T147">
      <text>
        <t xml:space="preserve">Borrado, rebeat más reciente:
https://www.youtube.com/watch?v=VWmXWIAiiZo</t>
      </text>
    </comment>
    <comment authorId="0" ref="U147">
      <text>
        <t xml:space="preserve">No disponible</t>
      </text>
    </comment>
    <comment authorId="0" ref="AG147">
      <text>
        <t xml:space="preserve">https://youtu.be/1wNitkfG9Rc
</t>
      </text>
    </comment>
    <comment authorId="0" ref="E150">
      <text>
        <t xml:space="preserve">No disponible</t>
      </text>
    </comment>
    <comment authorId="0" ref="O165">
      <text>
        <t xml:space="preserve">Rebeat, completado originalmente en abril de 2023 (entre DoYouself y LunatikSick)</t>
      </text>
    </comment>
    <comment authorId="0" ref="U165">
      <text>
        <t xml:space="preserve">Rebeat, completado originalmente en agosto de 2020 sin clicks
https://www.youtube.com/watch?v=YKxQp3XIAcs</t>
      </text>
    </comment>
  </commentList>
</comments>
</file>

<file path=xl/sharedStrings.xml><?xml version="1.0" encoding="utf-8"?>
<sst xmlns="http://schemas.openxmlformats.org/spreadsheetml/2006/main" count="1727" uniqueCount="271">
  <si>
    <t>Placement</t>
  </si>
  <si>
    <t>Tier</t>
  </si>
  <si>
    <t>N° victors</t>
  </si>
  <si>
    <t>Victors</t>
  </si>
  <si>
    <t>Tartarus</t>
  </si>
  <si>
    <t>Monstrous</t>
  </si>
  <si>
    <t>Santiricca</t>
  </si>
  <si>
    <t>Zodiac</t>
  </si>
  <si>
    <t>Merciless</t>
  </si>
  <si>
    <t>Thinking Space</t>
  </si>
  <si>
    <t>Excruciating</t>
  </si>
  <si>
    <t>cxve</t>
  </si>
  <si>
    <t>Renevant</t>
  </si>
  <si>
    <t>Pissa</t>
  </si>
  <si>
    <t>Crimson Planet</t>
  </si>
  <si>
    <t>Salva</t>
  </si>
  <si>
    <t>Call Me Maybe</t>
  </si>
  <si>
    <t>SUPERHATEMEWORLD</t>
  </si>
  <si>
    <t>Inexorable</t>
  </si>
  <si>
    <t>Sides Of My Mind (Solo)</t>
  </si>
  <si>
    <t>Fuck</t>
  </si>
  <si>
    <t>Neuronfish</t>
  </si>
  <si>
    <t>Bloodlust</t>
  </si>
  <si>
    <t>Andres Beltran</t>
  </si>
  <si>
    <t>Nhelv</t>
  </si>
  <si>
    <t>Catastrophic</t>
  </si>
  <si>
    <t>Chimpi</t>
  </si>
  <si>
    <t>DoYouself</t>
  </si>
  <si>
    <t>Congregation</t>
  </si>
  <si>
    <t>Rodro</t>
  </si>
  <si>
    <t>Gekura</t>
  </si>
  <si>
    <t>Knights of Thunder</t>
  </si>
  <si>
    <t>Geroventi31</t>
  </si>
  <si>
    <t>Arctic Lights</t>
  </si>
  <si>
    <t>Joaquemix</t>
  </si>
  <si>
    <t>Wasureta</t>
  </si>
  <si>
    <t>Terrifying</t>
  </si>
  <si>
    <t>Redelekys</t>
  </si>
  <si>
    <t>FranPes</t>
  </si>
  <si>
    <t>Thiago</t>
  </si>
  <si>
    <t>Sonic Wave Rebirth</t>
  </si>
  <si>
    <t>Relentless</t>
  </si>
  <si>
    <t>Joako</t>
  </si>
  <si>
    <t>Sonic Wave</t>
  </si>
  <si>
    <t>Ardizz</t>
  </si>
  <si>
    <t>Yatagarasu</t>
  </si>
  <si>
    <t>xo</t>
  </si>
  <si>
    <t>GONER</t>
  </si>
  <si>
    <t>Sunset Sandstorm</t>
  </si>
  <si>
    <t>Erebus</t>
  </si>
  <si>
    <t>Catalyze</t>
  </si>
  <si>
    <t>Skyllz</t>
  </si>
  <si>
    <t>Digital Descent</t>
  </si>
  <si>
    <t>Remorseless</t>
  </si>
  <si>
    <t>Stalemate Redux</t>
  </si>
  <si>
    <t>Overm0n</t>
  </si>
  <si>
    <t>Omicron</t>
  </si>
  <si>
    <t>Jard Factory</t>
  </si>
  <si>
    <t>creiz</t>
  </si>
  <si>
    <t>Killbot</t>
  </si>
  <si>
    <t>EmilioRory</t>
  </si>
  <si>
    <t>Delta Interface</t>
  </si>
  <si>
    <t>GDNacho</t>
  </si>
  <si>
    <t>Artificial Ascent</t>
  </si>
  <si>
    <t>KadriaN</t>
  </si>
  <si>
    <t>2‎ 1‎ 1</t>
  </si>
  <si>
    <t>Extreme</t>
  </si>
  <si>
    <t>Mind Control</t>
  </si>
  <si>
    <t>Quantum Processing</t>
  </si>
  <si>
    <t>Black Blizzard</t>
  </si>
  <si>
    <t>WinRAR</t>
  </si>
  <si>
    <t>SECTOR 19</t>
  </si>
  <si>
    <t>Astral Divinity</t>
  </si>
  <si>
    <t>Tryken</t>
  </si>
  <si>
    <t>BuTiTi III</t>
  </si>
  <si>
    <t>Magnificent Gaps</t>
  </si>
  <si>
    <t>Hatred</t>
  </si>
  <si>
    <t>Auditory Breaker</t>
  </si>
  <si>
    <t>TropixVG</t>
  </si>
  <si>
    <t>Belux</t>
  </si>
  <si>
    <t>Surge of the Shield</t>
  </si>
  <si>
    <t>Hyper Paradox</t>
  </si>
  <si>
    <t>SubSonic</t>
  </si>
  <si>
    <t>Insane</t>
  </si>
  <si>
    <t>Dolos</t>
  </si>
  <si>
    <t>The Hell Inferno</t>
  </si>
  <si>
    <t>Boogie</t>
  </si>
  <si>
    <t>Athanatos</t>
  </si>
  <si>
    <t>Gentlemens Clique (Solo)</t>
  </si>
  <si>
    <t>Wild Rose</t>
  </si>
  <si>
    <t>Infernal Abyss</t>
  </si>
  <si>
    <t>hot rod</t>
  </si>
  <si>
    <t>Very Hard</t>
  </si>
  <si>
    <t>Based Gang (Solo)</t>
  </si>
  <si>
    <t>WcropoliX</t>
  </si>
  <si>
    <t>Bang Gang (Solo)</t>
  </si>
  <si>
    <t>Carnage Mode</t>
  </si>
  <si>
    <t>Inc0gnit</t>
  </si>
  <si>
    <t>Blade of Justice</t>
  </si>
  <si>
    <t>SVib21</t>
  </si>
  <si>
    <t>Carbon Fiber</t>
  </si>
  <si>
    <t>federicotl</t>
  </si>
  <si>
    <t>Phobos</t>
  </si>
  <si>
    <t>Asmodeus</t>
  </si>
  <si>
    <t>EXPLICIT</t>
  </si>
  <si>
    <t>Sakupen Hell</t>
  </si>
  <si>
    <t>Betrayal of Fate</t>
  </si>
  <si>
    <t>Nahuel2998</t>
  </si>
  <si>
    <t>Tenth Circle</t>
  </si>
  <si>
    <t>Fusion Z</t>
  </si>
  <si>
    <t>Carcano</t>
  </si>
  <si>
    <t>Epsilon</t>
  </si>
  <si>
    <t>Azurite</t>
  </si>
  <si>
    <t>Gravity</t>
  </si>
  <si>
    <t>Creiz</t>
  </si>
  <si>
    <t>Bloodbath</t>
  </si>
  <si>
    <t>Runnie_M</t>
  </si>
  <si>
    <t>PoleEast</t>
  </si>
  <si>
    <t>Kuo</t>
  </si>
  <si>
    <t>MaTeO_BeLu</t>
  </si>
  <si>
    <t>sen</t>
  </si>
  <si>
    <t>Rals</t>
  </si>
  <si>
    <t>Idols</t>
  </si>
  <si>
    <t>Hard</t>
  </si>
  <si>
    <t>Moment</t>
  </si>
  <si>
    <t>Wesok</t>
  </si>
  <si>
    <t>Barbaros Finale</t>
  </si>
  <si>
    <t>Down Bass</t>
  </si>
  <si>
    <t>i just wish i could</t>
  </si>
  <si>
    <t>Prismatic Haze</t>
  </si>
  <si>
    <t>A Bizarre Phantasm</t>
  </si>
  <si>
    <t>Conical Depression</t>
  </si>
  <si>
    <t>EKO</t>
  </si>
  <si>
    <t>QDYNAMIX</t>
  </si>
  <si>
    <t>Medium</t>
  </si>
  <si>
    <t>Overtime</t>
  </si>
  <si>
    <t>Karma</t>
  </si>
  <si>
    <t>Ch1ll Puddy</t>
  </si>
  <si>
    <t>Lovers Sadness</t>
  </si>
  <si>
    <t>Aftermath</t>
  </si>
  <si>
    <t>Garo204</t>
  </si>
  <si>
    <t>Cat Planet</t>
  </si>
  <si>
    <t>Plasma Pulse III</t>
  </si>
  <si>
    <t>Panasonic</t>
  </si>
  <si>
    <t>Maybe Possibly Thing</t>
  </si>
  <si>
    <t>Manic Machine</t>
  </si>
  <si>
    <t>Warning</t>
  </si>
  <si>
    <t>VIRTUE</t>
  </si>
  <si>
    <t>Easy</t>
  </si>
  <si>
    <t>Glide</t>
  </si>
  <si>
    <t>Facu28</t>
  </si>
  <si>
    <t>SLAY MOMENT</t>
  </si>
  <si>
    <t>Ferrotheiz</t>
  </si>
  <si>
    <t>Heartbeat</t>
  </si>
  <si>
    <t>Under Lavaland</t>
  </si>
  <si>
    <t>Wacky McWhackface v2</t>
  </si>
  <si>
    <t>1330X</t>
  </si>
  <si>
    <t>Pumped Up Kicks</t>
  </si>
  <si>
    <t>Cupid</t>
  </si>
  <si>
    <t>Skrrah</t>
  </si>
  <si>
    <t>Rivers of Nazareth</t>
  </si>
  <si>
    <t>Shukufuku</t>
  </si>
  <si>
    <t>NecropoliX</t>
  </si>
  <si>
    <t>nowdead</t>
  </si>
  <si>
    <t>Steel Terrors</t>
  </si>
  <si>
    <t>The Ultimate Phase</t>
  </si>
  <si>
    <t>headlock</t>
  </si>
  <si>
    <t>BYE</t>
  </si>
  <si>
    <t>Broken Signal</t>
  </si>
  <si>
    <t>Beginner</t>
  </si>
  <si>
    <t>Volume</t>
  </si>
  <si>
    <t>reverence</t>
  </si>
  <si>
    <t>Napalm</t>
  </si>
  <si>
    <t>Ruitsu</t>
  </si>
  <si>
    <t>Stellaluna</t>
  </si>
  <si>
    <t>Tech Manifestation</t>
  </si>
  <si>
    <t>ElectroLux</t>
  </si>
  <si>
    <t>Interstellar Entropy</t>
  </si>
  <si>
    <t>Retention</t>
  </si>
  <si>
    <t>Falling Up</t>
  </si>
  <si>
    <t>La Llorona</t>
  </si>
  <si>
    <t>ZOOOOOOOOOOOOOOOOOOM</t>
  </si>
  <si>
    <t>Red World Rebirth</t>
  </si>
  <si>
    <t>Heart Attack</t>
  </si>
  <si>
    <t>Dismal Duststorm</t>
  </si>
  <si>
    <t>Zettabyte</t>
  </si>
  <si>
    <t>Deception Dive</t>
  </si>
  <si>
    <t>Reanimate</t>
  </si>
  <si>
    <t>MecaSony</t>
  </si>
  <si>
    <t>Crowd Control</t>
  </si>
  <si>
    <t>Elite Z Rebirth</t>
  </si>
  <si>
    <t>Polish Alphabet</t>
  </si>
  <si>
    <t>TROLLMACHINE</t>
  </si>
  <si>
    <t>STRATUS</t>
  </si>
  <si>
    <t>The Flawless</t>
  </si>
  <si>
    <t>CICADA3302</t>
  </si>
  <si>
    <t>Maths</t>
  </si>
  <si>
    <t>Allegiance</t>
  </si>
  <si>
    <t>GeroVenti31</t>
  </si>
  <si>
    <t>HyperSonic</t>
  </si>
  <si>
    <t>Just DANCE</t>
  </si>
  <si>
    <t>Incipient</t>
  </si>
  <si>
    <t>Virtual Collapse</t>
  </si>
  <si>
    <t>Redemption</t>
  </si>
  <si>
    <t>Robi</t>
  </si>
  <si>
    <t>AcropoliX</t>
  </si>
  <si>
    <t>Hidden in the Sand</t>
  </si>
  <si>
    <t>robotchief exposal</t>
  </si>
  <si>
    <t>Uprise</t>
  </si>
  <si>
    <t>Clarity</t>
  </si>
  <si>
    <t>Make it Drop</t>
  </si>
  <si>
    <t>Plasmatic</t>
  </si>
  <si>
    <t>Bangarang</t>
  </si>
  <si>
    <t>Dark Odyssey</t>
  </si>
  <si>
    <t>8o X</t>
  </si>
  <si>
    <t>Anya III</t>
  </si>
  <si>
    <t>Carnanoc</t>
  </si>
  <si>
    <t>Forbidden Isle</t>
  </si>
  <si>
    <t>The Lost Existence</t>
  </si>
  <si>
    <t>Cataclysm</t>
  </si>
  <si>
    <t>Firestorm</t>
  </si>
  <si>
    <t>NotDone</t>
  </si>
  <si>
    <t>Donato</t>
  </si>
  <si>
    <t>Taser</t>
  </si>
  <si>
    <t>Kingus</t>
  </si>
  <si>
    <t>Digit</t>
  </si>
  <si>
    <t>MrAlx</t>
  </si>
  <si>
    <t>Lost Love</t>
  </si>
  <si>
    <t>Komodo</t>
  </si>
  <si>
    <t>Glisten</t>
  </si>
  <si>
    <t>Kanpai</t>
  </si>
  <si>
    <t>Proteus</t>
  </si>
  <si>
    <t>9Blue</t>
  </si>
  <si>
    <t>Rev121</t>
  </si>
  <si>
    <t>Flappy Dynamix II</t>
  </si>
  <si>
    <t>The Depths Above</t>
  </si>
  <si>
    <t>reverie</t>
  </si>
  <si>
    <t>Mystic Bounds</t>
  </si>
  <si>
    <t>Mizureta</t>
  </si>
  <si>
    <t>Misty Mountains</t>
  </si>
  <si>
    <t>Niwa</t>
  </si>
  <si>
    <t>ThaLion087</t>
  </si>
  <si>
    <t>Without U</t>
  </si>
  <si>
    <t>Prismatic</t>
  </si>
  <si>
    <t>Troll Level</t>
  </si>
  <si>
    <t>Ramii</t>
  </si>
  <si>
    <t>Sweater Weather</t>
  </si>
  <si>
    <t>Acu</t>
  </si>
  <si>
    <t>Corews</t>
  </si>
  <si>
    <t>Through The Decay</t>
  </si>
  <si>
    <t>Precipitance</t>
  </si>
  <si>
    <t>Red World</t>
  </si>
  <si>
    <t>Last update: 30/3/26</t>
  </si>
  <si>
    <t>Unique players:</t>
  </si>
  <si>
    <t>Hardest</t>
  </si>
  <si>
    <t>Extreme Count</t>
  </si>
  <si>
    <t>Cxve</t>
  </si>
  <si>
    <t>Andrés Beltrán</t>
  </si>
  <si>
    <t>Geroventi</t>
  </si>
  <si>
    <t>Stalemate Redux X1.1</t>
  </si>
  <si>
    <t>Doyou</t>
  </si>
  <si>
    <t>LunatikSick</t>
  </si>
  <si>
    <t>Devil Vortex</t>
  </si>
  <si>
    <t>MISFIRE</t>
  </si>
  <si>
    <t>Untitled</t>
  </si>
  <si>
    <t>Arctic Arena</t>
  </si>
  <si>
    <t>Sigma Interface</t>
  </si>
  <si>
    <t>Penombre</t>
  </si>
  <si>
    <t>White Album</t>
  </si>
  <si>
    <t>ANNIHILATED</t>
  </si>
  <si>
    <t>Last update: 18/1/26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</si>
</sst>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1155CC"/>
      <name val="Arial"/>
    </font>
    <font>
      <color theme="1"/>
      <name val="Arial"/>
    </font>
    <font>
      <color rgb="FF000000"/>
      <name val="Arial"/>
    </font>
    <font>
      <color rgb="FFFF0000"/>
      <name val="Arial"/>
      <scheme val="minor"/>
    </font>
    <font>
      <u/>
      <color rgb="FF0000FF"/>
      <name val="Arial"/>
    </font>
    <font>
      <u/>
      <color rgb="FF0000FF"/>
    </font>
    <font>
      <u/>
      <sz val="10.0"/>
      <color rgb="FF0000FF"/>
    </font>
    <font>
      <sz val="6.0"/>
      <color theme="1"/>
      <name val="Arial"/>
      <scheme val="minor"/>
    </font>
    <font>
      <sz val="10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5BAD96"/>
        <bgColor rgb="FF5BAD96"/>
      </patternFill>
    </fill>
    <fill>
      <patternFill patternType="solid">
        <fgColor rgb="FFA7E58D"/>
        <bgColor rgb="FFA7E58D"/>
      </patternFill>
    </fill>
    <fill>
      <patternFill patternType="solid">
        <fgColor rgb="FFFFE599"/>
        <bgColor rgb="FFFFE599"/>
      </patternFill>
    </fill>
    <fill>
      <patternFill patternType="solid">
        <fgColor rgb="FFFCC484"/>
        <bgColor rgb="FFFCC484"/>
      </patternFill>
    </fill>
    <fill>
      <patternFill patternType="solid">
        <fgColor rgb="FF000000"/>
        <bgColor rgb="FF000000"/>
      </patternFill>
    </fill>
    <fill>
      <patternFill patternType="solid">
        <fgColor rgb="FFF06464"/>
        <bgColor rgb="FFF06464"/>
      </patternFill>
    </fill>
    <fill>
      <patternFill patternType="solid">
        <fgColor rgb="FFF89CEC"/>
        <bgColor rgb="FFF89CEC"/>
      </patternFill>
    </fill>
    <fill>
      <patternFill patternType="solid">
        <fgColor rgb="FFB884EC"/>
        <bgColor rgb="FFB884EC"/>
      </patternFill>
    </fill>
    <fill>
      <patternFill patternType="solid">
        <fgColor rgb="FFA004FC"/>
        <bgColor rgb="FFA004FC"/>
      </patternFill>
    </fill>
    <fill>
      <patternFill patternType="solid">
        <fgColor rgb="FFFF04FC"/>
        <bgColor rgb="FFFF04FC"/>
      </patternFill>
    </fill>
    <fill>
      <patternFill patternType="solid">
        <fgColor rgb="FFFF0404"/>
        <bgColor rgb="FFFF0404"/>
      </patternFill>
    </fill>
    <fill>
      <patternFill patternType="solid">
        <fgColor rgb="FFFF9C04"/>
        <bgColor rgb="FFFF9C04"/>
      </patternFill>
    </fill>
    <fill>
      <patternFill patternType="solid">
        <fgColor rgb="FFFFFC04"/>
        <bgColor rgb="FFFFFC04"/>
      </patternFill>
    </fill>
    <fill>
      <patternFill patternType="solid">
        <fgColor rgb="FF08FC04"/>
        <bgColor rgb="FF08FC04"/>
      </patternFill>
    </fill>
    <fill>
      <patternFill patternType="solid">
        <fgColor rgb="FF08FCFC"/>
        <bgColor rgb="FF08FCFC"/>
      </patternFill>
    </fill>
    <fill>
      <patternFill patternType="solid">
        <fgColor rgb="FF5084EC"/>
        <bgColor rgb="FF5084EC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0" fontId="5" numFmtId="0" xfId="0" applyAlignment="1" applyFont="1">
      <alignment horizontal="left" readingOrder="0"/>
    </xf>
    <xf borderId="0" fillId="8" fontId="3" numFmtId="0" xfId="0" applyAlignment="1" applyFill="1" applyFont="1">
      <alignment horizontal="center" readingOrder="0"/>
    </xf>
    <xf borderId="0" fillId="0" fontId="6" numFmtId="0" xfId="0" applyAlignment="1" applyFont="1">
      <alignment horizontal="left" readingOrder="0"/>
    </xf>
    <xf borderId="0" fillId="9" fontId="7" numFmtId="0" xfId="0" applyAlignment="1" applyFill="1" applyFont="1">
      <alignment horizontal="center" readingOrder="0"/>
    </xf>
    <xf borderId="0" fillId="0" fontId="8" numFmtId="0" xfId="0" applyAlignment="1" applyFont="1">
      <alignment horizontal="left" readingOrder="0"/>
    </xf>
    <xf borderId="0" fillId="10" fontId="1" numFmtId="0" xfId="0" applyAlignment="1" applyFill="1" applyFont="1">
      <alignment horizontal="center" readingOrder="0"/>
    </xf>
    <xf borderId="0" fillId="0" fontId="9" numFmtId="0" xfId="0" applyAlignment="1" applyFont="1">
      <alignment horizontal="left" readingOrder="0"/>
    </xf>
    <xf borderId="0" fillId="11" fontId="1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/>
    </xf>
    <xf borderId="0" fillId="12" fontId="1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15" fontId="1" numFmtId="0" xfId="0" applyAlignment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0" fillId="17" fontId="1" numFmtId="0" xfId="0" applyAlignment="1" applyFill="1" applyFont="1">
      <alignment horizontal="center" readingOrder="0"/>
    </xf>
    <xf borderId="0" fillId="18" fontId="1" numFmtId="0" xfId="0" applyAlignment="1" applyFill="1" applyFont="1">
      <alignment horizontal="center" readingOrder="0"/>
    </xf>
    <xf borderId="0" fillId="19" fontId="1" numFmtId="0" xfId="0" applyAlignment="1" applyFill="1" applyFont="1">
      <alignment horizontal="center" readingOrder="0"/>
    </xf>
    <xf borderId="0" fillId="20" fontId="1" numFmtId="0" xfId="0" applyAlignment="1" applyFill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10" numFmtId="0" xfId="0" applyAlignment="1" applyFont="1">
      <alignment horizontal="left" readingOrder="0" textRotation="0"/>
    </xf>
    <xf borderId="0" fillId="0" fontId="1" numFmtId="0" xfId="0" applyAlignment="1" applyFont="1">
      <alignment horizontal="center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2" numFmtId="0" xfId="0" applyAlignment="1" applyFont="1">
      <alignment horizontal="left" readingOrder="0" textRotation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942975</xdr:colOff>
      <xdr:row>0</xdr:row>
      <xdr:rowOff>0</xdr:rowOff>
    </xdr:from>
    <xdr:ext cx="6581775" cy="1647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942975</xdr:colOff>
      <xdr:row>0</xdr:row>
      <xdr:rowOff>0</xdr:rowOff>
    </xdr:from>
    <xdr:ext cx="6581775" cy="1647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gVcW79lDf7g" TargetMode="External"/><Relationship Id="rId194" Type="http://schemas.openxmlformats.org/officeDocument/2006/relationships/hyperlink" Target="https://www.youtube.com/watch?v=Y6ntIEXpxvk" TargetMode="External"/><Relationship Id="rId193" Type="http://schemas.openxmlformats.org/officeDocument/2006/relationships/hyperlink" Target="https://www.youtube.com/watch?v=-rO40vLLC2s" TargetMode="External"/><Relationship Id="rId192" Type="http://schemas.openxmlformats.org/officeDocument/2006/relationships/hyperlink" Target="https://www.youtube.com/watch?v=q9olbUCD3ME" TargetMode="External"/><Relationship Id="rId191" Type="http://schemas.openxmlformats.org/officeDocument/2006/relationships/hyperlink" Target="https://www.youtube.com/watch?v=GJrva6twWHg" TargetMode="External"/><Relationship Id="rId187" Type="http://schemas.openxmlformats.org/officeDocument/2006/relationships/hyperlink" Target="https://www.youtube.com/watch?v=deyv_LC5b3U" TargetMode="External"/><Relationship Id="rId186" Type="http://schemas.openxmlformats.org/officeDocument/2006/relationships/hyperlink" Target="https://www.youtube.com/watch?v=p8WdG7h74AE&amp;ab_channel=DoYouself" TargetMode="External"/><Relationship Id="rId185" Type="http://schemas.openxmlformats.org/officeDocument/2006/relationships/hyperlink" Target="https://www.youtube.com/watch?v=ZIigprtTbY4&amp;ab_channel=Redelekys" TargetMode="External"/><Relationship Id="rId184" Type="http://schemas.openxmlformats.org/officeDocument/2006/relationships/hyperlink" Target="https://www.youtube.com/watch?v=S4itGV5V2zc" TargetMode="External"/><Relationship Id="rId189" Type="http://schemas.openxmlformats.org/officeDocument/2006/relationships/hyperlink" Target="https://www.youtube.com/watch?v=f2yHf3-BKVs" TargetMode="External"/><Relationship Id="rId188" Type="http://schemas.openxmlformats.org/officeDocument/2006/relationships/hyperlink" Target="https://youtu.be/nWAlWPro7Dk" TargetMode="External"/><Relationship Id="rId183" Type="http://schemas.openxmlformats.org/officeDocument/2006/relationships/hyperlink" Target="https://www.youtube.com/watch?v=Ix4Ia87Rm-M" TargetMode="External"/><Relationship Id="rId182" Type="http://schemas.openxmlformats.org/officeDocument/2006/relationships/hyperlink" Target="https://youtu.be/CcP8L0Z3fjw" TargetMode="External"/><Relationship Id="rId181" Type="http://schemas.openxmlformats.org/officeDocument/2006/relationships/hyperlink" Target="https://www.youtube.com/watch?v=2-NBIFbPokQ" TargetMode="External"/><Relationship Id="rId180" Type="http://schemas.openxmlformats.org/officeDocument/2006/relationships/hyperlink" Target="https://www.youtube.com/watch?v=lQZR2LhYp_U&amp;t=2s&amp;pp=ygUSZ2Qgam9hcXVlbWl4IGlkb2xz" TargetMode="External"/><Relationship Id="rId176" Type="http://schemas.openxmlformats.org/officeDocument/2006/relationships/hyperlink" Target="https://www.youtube.com/watch?v=T6V5BzlQ8jk" TargetMode="External"/><Relationship Id="rId297" Type="http://schemas.openxmlformats.org/officeDocument/2006/relationships/hyperlink" Target="https://www.youtube.com/watch?v=rGx1tNBz7z0" TargetMode="External"/><Relationship Id="rId175" Type="http://schemas.openxmlformats.org/officeDocument/2006/relationships/hyperlink" Target="https://www.youtube.com/watch?v=fUuBg4kUFOQ" TargetMode="External"/><Relationship Id="rId296" Type="http://schemas.openxmlformats.org/officeDocument/2006/relationships/hyperlink" Target="https://www.youtube.com/watch?v=pxpIfvLm07w" TargetMode="External"/><Relationship Id="rId174" Type="http://schemas.openxmlformats.org/officeDocument/2006/relationships/hyperlink" Target="https://www.youtube.com/watch?v=XW5xXG4yisM" TargetMode="External"/><Relationship Id="rId295" Type="http://schemas.openxmlformats.org/officeDocument/2006/relationships/hyperlink" Target="https://www.youtube.com/watch?v=_Q4nN0I-jWk" TargetMode="External"/><Relationship Id="rId173" Type="http://schemas.openxmlformats.org/officeDocument/2006/relationships/hyperlink" Target="https://www.youtube.com/watch?v=M-EORdnMAtU" TargetMode="External"/><Relationship Id="rId294" Type="http://schemas.openxmlformats.org/officeDocument/2006/relationships/hyperlink" Target="https://www.youtube.com/watch?v=8p0hF0B5MBE" TargetMode="External"/><Relationship Id="rId179" Type="http://schemas.openxmlformats.org/officeDocument/2006/relationships/hyperlink" Target="https://www.youtube.com/watch?v=DIdl-OlFNOg" TargetMode="External"/><Relationship Id="rId178" Type="http://schemas.openxmlformats.org/officeDocument/2006/relationships/hyperlink" Target="https://youtu.be/ycgfVXMnBAM" TargetMode="External"/><Relationship Id="rId299" Type="http://schemas.openxmlformats.org/officeDocument/2006/relationships/hyperlink" Target="https://www.youtube.com/watch?v=J4nyDBPLKM8" TargetMode="External"/><Relationship Id="rId177" Type="http://schemas.openxmlformats.org/officeDocument/2006/relationships/hyperlink" Target="https://www.youtube.com/watch?v=vmwf7ZFAwxQ" TargetMode="External"/><Relationship Id="rId298" Type="http://schemas.openxmlformats.org/officeDocument/2006/relationships/hyperlink" Target="https://www.youtube.com/watch?v=uDxCvEZ5d2I" TargetMode="External"/><Relationship Id="rId198" Type="http://schemas.openxmlformats.org/officeDocument/2006/relationships/hyperlink" Target="https://www.youtube.com/watch?v=siC35CFJwWY" TargetMode="External"/><Relationship Id="rId197" Type="http://schemas.openxmlformats.org/officeDocument/2006/relationships/hyperlink" Target="https://www.youtube.com/watch?v=VK9EnESrFKg" TargetMode="External"/><Relationship Id="rId196" Type="http://schemas.openxmlformats.org/officeDocument/2006/relationships/hyperlink" Target="https://www.youtube.com/watch?v=SjDYYZV1nSc&amp;pp=wgIGCgQQAhgB" TargetMode="External"/><Relationship Id="rId195" Type="http://schemas.openxmlformats.org/officeDocument/2006/relationships/hyperlink" Target="https://youtu.be/C6rOOZqTDyc" TargetMode="External"/><Relationship Id="rId199" Type="http://schemas.openxmlformats.org/officeDocument/2006/relationships/hyperlink" Target="https://youtu.be/CYJ9PxRGHLA" TargetMode="External"/><Relationship Id="rId150" Type="http://schemas.openxmlformats.org/officeDocument/2006/relationships/hyperlink" Target="https://youtu.be/e5_P0xlxdjk" TargetMode="External"/><Relationship Id="rId271" Type="http://schemas.openxmlformats.org/officeDocument/2006/relationships/hyperlink" Target="https://www.youtube.com/watch?v=u-wddcZdc-M" TargetMode="External"/><Relationship Id="rId392" Type="http://schemas.openxmlformats.org/officeDocument/2006/relationships/hyperlink" Target="https://www.youtube.com/watch?v=rJGmeDbCJ70&amp;t=1s" TargetMode="External"/><Relationship Id="rId270" Type="http://schemas.openxmlformats.org/officeDocument/2006/relationships/hyperlink" Target="https://www.youtube.com/watch?v=kNMIQWy0xaQ&amp;ab_channel=Emilio10" TargetMode="External"/><Relationship Id="rId391" Type="http://schemas.openxmlformats.org/officeDocument/2006/relationships/hyperlink" Target="https://youtu.be/X8nlW5na_kg" TargetMode="External"/><Relationship Id="rId390" Type="http://schemas.openxmlformats.org/officeDocument/2006/relationships/hyperlink" Target="https://youtu.be/iu2-p00mkM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IWQDfnVnlt0" TargetMode="External"/><Relationship Id="rId3" Type="http://schemas.openxmlformats.org/officeDocument/2006/relationships/hyperlink" Target="https://www.youtube.com/watch?v=LZd8oulTiEw" TargetMode="External"/><Relationship Id="rId149" Type="http://schemas.openxmlformats.org/officeDocument/2006/relationships/hyperlink" Target="https://www.youtube.com/watch?v=xVGlHfPHLFA" TargetMode="External"/><Relationship Id="rId4" Type="http://schemas.openxmlformats.org/officeDocument/2006/relationships/hyperlink" Target="http://www.youtube.com/watch?v=0ZxavmAd8cw&amp;pp=2AYB" TargetMode="External"/><Relationship Id="rId148" Type="http://schemas.openxmlformats.org/officeDocument/2006/relationships/hyperlink" Target="https://youtu.be/1LyXNZmvzD8" TargetMode="External"/><Relationship Id="rId269" Type="http://schemas.openxmlformats.org/officeDocument/2006/relationships/hyperlink" Target="https://www.youtube.com/watch?v=CMFWWOnVKVs" TargetMode="External"/><Relationship Id="rId9" Type="http://schemas.openxmlformats.org/officeDocument/2006/relationships/hyperlink" Target="https://youtu.be/G35fOZRVX6Y" TargetMode="External"/><Relationship Id="rId143" Type="http://schemas.openxmlformats.org/officeDocument/2006/relationships/hyperlink" Target="https://www.youtube.com/watch?v=8DtIBPyMudE" TargetMode="External"/><Relationship Id="rId264" Type="http://schemas.openxmlformats.org/officeDocument/2006/relationships/hyperlink" Target="https://youtu.be/IzLW-tbVLFc" TargetMode="External"/><Relationship Id="rId385" Type="http://schemas.openxmlformats.org/officeDocument/2006/relationships/hyperlink" Target="https://www.youtube.com/watch?v=AIVZ5G7gnrU" TargetMode="External"/><Relationship Id="rId142" Type="http://schemas.openxmlformats.org/officeDocument/2006/relationships/hyperlink" Target="https://youtu.be/tVWnx08WIGo?si=xM9r_GCAr1cy6TIN" TargetMode="External"/><Relationship Id="rId263" Type="http://schemas.openxmlformats.org/officeDocument/2006/relationships/hyperlink" Target="https://www.youtube.com/watch?v=SnBAva86A34" TargetMode="External"/><Relationship Id="rId384" Type="http://schemas.openxmlformats.org/officeDocument/2006/relationships/hyperlink" Target="https://youtu.be/3E98BaZwzic" TargetMode="External"/><Relationship Id="rId141" Type="http://schemas.openxmlformats.org/officeDocument/2006/relationships/hyperlink" Target="https://www.youtube.com/watch?v=80txmC8BPpk&amp;pp=ygURam9hcXVlbWl4IGVwc2lsb24%3D" TargetMode="External"/><Relationship Id="rId262" Type="http://schemas.openxmlformats.org/officeDocument/2006/relationships/hyperlink" Target="https://youtu.be/1HnbZYq5oPw?si=7X4YqMe2871s1Kty" TargetMode="External"/><Relationship Id="rId383" Type="http://schemas.openxmlformats.org/officeDocument/2006/relationships/hyperlink" Target="https://www.youtube.com/watch?v=D3m-AXlDVWI" TargetMode="External"/><Relationship Id="rId140" Type="http://schemas.openxmlformats.org/officeDocument/2006/relationships/hyperlink" Target="https://www.youtube.com/watch?v=y3e4oS4ercE" TargetMode="External"/><Relationship Id="rId261" Type="http://schemas.openxmlformats.org/officeDocument/2006/relationships/hyperlink" Target="https://www.youtube.com/watch?v=temC2pkOB6Q" TargetMode="External"/><Relationship Id="rId382" Type="http://schemas.openxmlformats.org/officeDocument/2006/relationships/hyperlink" Target="https://www.youtube.com/watch?v=spRRYD35KHE&amp;pp=0gcJCccJAYcqIYzv" TargetMode="External"/><Relationship Id="rId5" Type="http://schemas.openxmlformats.org/officeDocument/2006/relationships/hyperlink" Target="https://www.youtube.com/watch?v=c0w0wnL0Txw" TargetMode="External"/><Relationship Id="rId147" Type="http://schemas.openxmlformats.org/officeDocument/2006/relationships/hyperlink" Target="https://www.youtube.com/watch?v=bXwHb4Umghc" TargetMode="External"/><Relationship Id="rId268" Type="http://schemas.openxmlformats.org/officeDocument/2006/relationships/hyperlink" Target="https://www.youtube.com/watch?v=BTu6T4gaGQM&amp;ab_channel=MaxinderGD" TargetMode="External"/><Relationship Id="rId389" Type="http://schemas.openxmlformats.org/officeDocument/2006/relationships/hyperlink" Target="https://youtu.be/auSLO8aAKOI" TargetMode="External"/><Relationship Id="rId6" Type="http://schemas.openxmlformats.org/officeDocument/2006/relationships/hyperlink" Target="https://www.youtube.com/watch?v=IbhrF4yXrrQ" TargetMode="External"/><Relationship Id="rId146" Type="http://schemas.openxmlformats.org/officeDocument/2006/relationships/hyperlink" Target="https://youtu.be/OnQkIBa4Zgo" TargetMode="External"/><Relationship Id="rId267" Type="http://schemas.openxmlformats.org/officeDocument/2006/relationships/hyperlink" Target="https://youtu.be/bbwvCmgkt9E?list=PLaVAu9oqIRsFepksy5fwUx05vM5S3SjGO" TargetMode="External"/><Relationship Id="rId388" Type="http://schemas.openxmlformats.org/officeDocument/2006/relationships/hyperlink" Target="https://www.youtube.com/watch?v=DgG9yWSIg28&amp;ab_channel=NotDoneYet" TargetMode="External"/><Relationship Id="rId7" Type="http://schemas.openxmlformats.org/officeDocument/2006/relationships/hyperlink" Target="https://youtu.be/JfiG0Lh87nM?si=HFFfpHp7NefFssky" TargetMode="External"/><Relationship Id="rId145" Type="http://schemas.openxmlformats.org/officeDocument/2006/relationships/hyperlink" Target="https://www.youtube.com/watch?v=Ybv7hCh69sM" TargetMode="External"/><Relationship Id="rId266" Type="http://schemas.openxmlformats.org/officeDocument/2006/relationships/hyperlink" Target="https://www.youtube.com/watch?v=_OrviTGBPqU" TargetMode="External"/><Relationship Id="rId387" Type="http://schemas.openxmlformats.org/officeDocument/2006/relationships/hyperlink" Target="https://www.youtube.com/watch?v=ccYngAb_TJk&amp;ab_channel=GWFirestorm" TargetMode="External"/><Relationship Id="rId8" Type="http://schemas.openxmlformats.org/officeDocument/2006/relationships/hyperlink" Target="https://www.youtube.com/watch?v=RJsZ06HSGCE" TargetMode="External"/><Relationship Id="rId144" Type="http://schemas.openxmlformats.org/officeDocument/2006/relationships/hyperlink" Target="https://www.youtube.com/watch?v=xdkBgUtCweQ" TargetMode="External"/><Relationship Id="rId265" Type="http://schemas.openxmlformats.org/officeDocument/2006/relationships/hyperlink" Target="https://www.youtube.com/watch?v=BSbaS8Q6-ZA&amp;pp=ygUadGhlIHVsdGltYXRlIHBoYXNlIGdkbmFjaG8%3D" TargetMode="External"/><Relationship Id="rId386" Type="http://schemas.openxmlformats.org/officeDocument/2006/relationships/hyperlink" Target="https://youtu.be/Jto_PpNG18A" TargetMode="External"/><Relationship Id="rId260" Type="http://schemas.openxmlformats.org/officeDocument/2006/relationships/hyperlink" Target="https://www.youtube.com/watch?v=2WOij1UrZJ0" TargetMode="External"/><Relationship Id="rId381" Type="http://schemas.openxmlformats.org/officeDocument/2006/relationships/hyperlink" Target="https://www.youtube.com/watch?v=giaMvMSlSZo" TargetMode="External"/><Relationship Id="rId380" Type="http://schemas.openxmlformats.org/officeDocument/2006/relationships/hyperlink" Target="https://www.youtube.com/watch?v=9KDzc1JstAk" TargetMode="External"/><Relationship Id="rId139" Type="http://schemas.openxmlformats.org/officeDocument/2006/relationships/hyperlink" Target="https://youtu.be/VVvy6Fjy3OI" TargetMode="External"/><Relationship Id="rId138" Type="http://schemas.openxmlformats.org/officeDocument/2006/relationships/hyperlink" Target="https://www.youtube.com/watch?v=OkcOZQAijzc" TargetMode="External"/><Relationship Id="rId259" Type="http://schemas.openxmlformats.org/officeDocument/2006/relationships/hyperlink" Target="https://youtu.be/NM5sm2IA_MU" TargetMode="External"/><Relationship Id="rId137" Type="http://schemas.openxmlformats.org/officeDocument/2006/relationships/hyperlink" Target="https://www.youtube.com/watch?v=eNHjJdsS86k&amp;ab_channel=Redelekys" TargetMode="External"/><Relationship Id="rId258" Type="http://schemas.openxmlformats.org/officeDocument/2006/relationships/hyperlink" Target="https://www.youtube.com/watch?v=ap61-uNQl6c" TargetMode="External"/><Relationship Id="rId379" Type="http://schemas.openxmlformats.org/officeDocument/2006/relationships/hyperlink" Target="https://www.youtube.com/watch?v=O2oEYoHbots&amp;ab_channel=Redelekys" TargetMode="External"/><Relationship Id="rId132" Type="http://schemas.openxmlformats.org/officeDocument/2006/relationships/hyperlink" Target="https://www.youtube.com/watch?v=rl6zkbt4OGM" TargetMode="External"/><Relationship Id="rId253" Type="http://schemas.openxmlformats.org/officeDocument/2006/relationships/hyperlink" Target="https://www.youtube.com/watch?v=NK4h7goA71I" TargetMode="External"/><Relationship Id="rId374" Type="http://schemas.openxmlformats.org/officeDocument/2006/relationships/hyperlink" Target="https://www.youtube.com/watch?v=ozFM3YrgnCI" TargetMode="External"/><Relationship Id="rId495" Type="http://schemas.openxmlformats.org/officeDocument/2006/relationships/hyperlink" Target="https://www.youtube.com/watch?v=19KmLMXu4Ks" TargetMode="External"/><Relationship Id="rId131" Type="http://schemas.openxmlformats.org/officeDocument/2006/relationships/hyperlink" Target="https://www.youtube.com/watch?v=MIiAWaA76NU&amp;pp=ygUWam9hcXVlbWl4IHNha3VwZW4gaGVsbA%3D%3D" TargetMode="External"/><Relationship Id="rId252" Type="http://schemas.openxmlformats.org/officeDocument/2006/relationships/hyperlink" Target="https://youtu.be/2Ej7wKRZUdI" TargetMode="External"/><Relationship Id="rId373" Type="http://schemas.openxmlformats.org/officeDocument/2006/relationships/hyperlink" Target="https://www.youtube.com/watch?v=qnAKPfzrkRs" TargetMode="External"/><Relationship Id="rId494" Type="http://schemas.openxmlformats.org/officeDocument/2006/relationships/hyperlink" Target="https://youtu.be/54G1WlA4rBA" TargetMode="External"/><Relationship Id="rId130" Type="http://schemas.openxmlformats.org/officeDocument/2006/relationships/hyperlink" Target="https://www.youtube.com/watch?v=2841JeRJrqE&amp;ab_channel=AndresBeltran" TargetMode="External"/><Relationship Id="rId251" Type="http://schemas.openxmlformats.org/officeDocument/2006/relationships/hyperlink" Target="https://www.youtube.com/watch?v=nCY2AlH-QgA" TargetMode="External"/><Relationship Id="rId372" Type="http://schemas.openxmlformats.org/officeDocument/2006/relationships/hyperlink" Target="https://www.youtube.com/watch?v=1bjrt0kDGIU" TargetMode="External"/><Relationship Id="rId493" Type="http://schemas.openxmlformats.org/officeDocument/2006/relationships/hyperlink" Target="https://www.youtube.com/watch?v=VzYR0k_caGA" TargetMode="External"/><Relationship Id="rId250" Type="http://schemas.openxmlformats.org/officeDocument/2006/relationships/hyperlink" Target="https://www.youtube.com/watch?v=_JrOLL_k1is" TargetMode="External"/><Relationship Id="rId371" Type="http://schemas.openxmlformats.org/officeDocument/2006/relationships/hyperlink" Target="https://www.youtube.com/watch?v=r9C0YQ8K5CY" TargetMode="External"/><Relationship Id="rId492" Type="http://schemas.openxmlformats.org/officeDocument/2006/relationships/hyperlink" Target="https://www.youtube.com/watch?v=FQMEydm_2Uw" TargetMode="External"/><Relationship Id="rId136" Type="http://schemas.openxmlformats.org/officeDocument/2006/relationships/hyperlink" Target="https://www.youtube.com/watch?v=Xq8tZCZD1Ko&amp;pp=ygUWam9hcXVlbWl4IHRlbnRoIGNpcmNsZQ%3D%3D" TargetMode="External"/><Relationship Id="rId257" Type="http://schemas.openxmlformats.org/officeDocument/2006/relationships/hyperlink" Target="https://youtu.be/WELgzONeUcY?si=lz-CfmpcBNWEAa6G" TargetMode="External"/><Relationship Id="rId378" Type="http://schemas.openxmlformats.org/officeDocument/2006/relationships/hyperlink" Target="https://www.youtube.com/watch?v=A6pmLihLoAM" TargetMode="External"/><Relationship Id="rId499" Type="http://schemas.openxmlformats.org/officeDocument/2006/relationships/hyperlink" Target="https://www.youtube.com/watch?v=nw-uT02ub2I" TargetMode="External"/><Relationship Id="rId135" Type="http://schemas.openxmlformats.org/officeDocument/2006/relationships/hyperlink" Target="https://youtu.be/jpS0AMVCQac" TargetMode="External"/><Relationship Id="rId256" Type="http://schemas.openxmlformats.org/officeDocument/2006/relationships/hyperlink" Target="https://youtu.be/wwoVtoWeVEI?si=BLw-QDV4BXxaaJ3M" TargetMode="External"/><Relationship Id="rId377" Type="http://schemas.openxmlformats.org/officeDocument/2006/relationships/hyperlink" Target="https://youtu.be/9Wk3DsFj6PU?si=SpqCCO4f9G8Pwht4" TargetMode="External"/><Relationship Id="rId498" Type="http://schemas.openxmlformats.org/officeDocument/2006/relationships/hyperlink" Target="https://youtu.be/sDwi1zAM8ks" TargetMode="External"/><Relationship Id="rId134" Type="http://schemas.openxmlformats.org/officeDocument/2006/relationships/hyperlink" Target="https://www.youtube.com/watch?v=yIXnS_1Vi8w" TargetMode="External"/><Relationship Id="rId255" Type="http://schemas.openxmlformats.org/officeDocument/2006/relationships/hyperlink" Target="https://youtu.be/_e3TpkzHcdk?si=YB5vO4_6HRytd6LI" TargetMode="External"/><Relationship Id="rId376" Type="http://schemas.openxmlformats.org/officeDocument/2006/relationships/hyperlink" Target="https://www.youtube.com/watch?v=mj9qKvXVPUM" TargetMode="External"/><Relationship Id="rId497" Type="http://schemas.openxmlformats.org/officeDocument/2006/relationships/hyperlink" Target="https://www.youtube.com/watch?v=I2_dzP-BmIc" TargetMode="External"/><Relationship Id="rId133" Type="http://schemas.openxmlformats.org/officeDocument/2006/relationships/hyperlink" Target="https://www.youtube.com/watch?v=9Qi8FLugcl8" TargetMode="External"/><Relationship Id="rId254" Type="http://schemas.openxmlformats.org/officeDocument/2006/relationships/hyperlink" Target="https://www.youtube.com/watch?v=UCxbxwmTt1I" TargetMode="External"/><Relationship Id="rId375" Type="http://schemas.openxmlformats.org/officeDocument/2006/relationships/hyperlink" Target="https://www.youtube.com/watch?v=jg1sGnCsG30" TargetMode="External"/><Relationship Id="rId496" Type="http://schemas.openxmlformats.org/officeDocument/2006/relationships/hyperlink" Target="https://www.youtube.com/watch?v=jHxRiLKQtT4" TargetMode="External"/><Relationship Id="rId172" Type="http://schemas.openxmlformats.org/officeDocument/2006/relationships/hyperlink" Target="https://www.youtube.com/watch?v=iIctlXjKU8c" TargetMode="External"/><Relationship Id="rId293" Type="http://schemas.openxmlformats.org/officeDocument/2006/relationships/hyperlink" Target="https://youtu.be/1rz9Kg1hfuY?si=rkMrQEaCBaRt-c2d" TargetMode="External"/><Relationship Id="rId171" Type="http://schemas.openxmlformats.org/officeDocument/2006/relationships/hyperlink" Target="https://www.youtube.com/watch?v=Lvp-f-YXc58" TargetMode="External"/><Relationship Id="rId292" Type="http://schemas.openxmlformats.org/officeDocument/2006/relationships/hyperlink" Target="https://www.youtube.com/watch?v=tNGeIQTln_E" TargetMode="External"/><Relationship Id="rId170" Type="http://schemas.openxmlformats.org/officeDocument/2006/relationships/hyperlink" Target="https://www.youtube.com/watch?v=CnK2H7MSY9E" TargetMode="External"/><Relationship Id="rId291" Type="http://schemas.openxmlformats.org/officeDocument/2006/relationships/hyperlink" Target="https://youtu.be/J00j5P2WcCE" TargetMode="External"/><Relationship Id="rId290" Type="http://schemas.openxmlformats.org/officeDocument/2006/relationships/hyperlink" Target="https://www.youtube.com/watch?v=AJsBq1Aga4o&amp;t=242s" TargetMode="External"/><Relationship Id="rId165" Type="http://schemas.openxmlformats.org/officeDocument/2006/relationships/hyperlink" Target="https://youtu.be/1cm2ohcpJeM" TargetMode="External"/><Relationship Id="rId286" Type="http://schemas.openxmlformats.org/officeDocument/2006/relationships/hyperlink" Target="https://www.youtube.com/watch?v=BKr61a0ppGA" TargetMode="External"/><Relationship Id="rId164" Type="http://schemas.openxmlformats.org/officeDocument/2006/relationships/hyperlink" Target="https://www.youtube.com/watch?v=QD_eIznWrqM" TargetMode="External"/><Relationship Id="rId285" Type="http://schemas.openxmlformats.org/officeDocument/2006/relationships/hyperlink" Target="https://www.youtube.com/watch?v=at9pfoc0lc8" TargetMode="External"/><Relationship Id="rId163" Type="http://schemas.openxmlformats.org/officeDocument/2006/relationships/hyperlink" Target="https://www.youtube.com/watch?v=AwETdyw1B4Q" TargetMode="External"/><Relationship Id="rId284" Type="http://schemas.openxmlformats.org/officeDocument/2006/relationships/hyperlink" Target="https://www.youtube.com/watch?v=Le8_hyD-T8o" TargetMode="External"/><Relationship Id="rId162" Type="http://schemas.openxmlformats.org/officeDocument/2006/relationships/hyperlink" Target="https://www.youtube.com/watch?v=HlxwlqOA_uI&amp;ab_channel=AndresBeltran" TargetMode="External"/><Relationship Id="rId283" Type="http://schemas.openxmlformats.org/officeDocument/2006/relationships/hyperlink" Target="https://www.youtube.com/watch?v=_nbm9mgdEX4" TargetMode="External"/><Relationship Id="rId169" Type="http://schemas.openxmlformats.org/officeDocument/2006/relationships/hyperlink" Target="https://www.youtube.com/watch?v=A6ruG_oJfqM" TargetMode="External"/><Relationship Id="rId168" Type="http://schemas.openxmlformats.org/officeDocument/2006/relationships/hyperlink" Target="https://youtu.be/INQHhMDmBj4" TargetMode="External"/><Relationship Id="rId289" Type="http://schemas.openxmlformats.org/officeDocument/2006/relationships/hyperlink" Target="https://youtu.be/Qr25-BAcUk8?si=csbM0idaWTZ1Nxps" TargetMode="External"/><Relationship Id="rId167" Type="http://schemas.openxmlformats.org/officeDocument/2006/relationships/hyperlink" Target="https://youtu.be/1FWO2LsY5_s" TargetMode="External"/><Relationship Id="rId288" Type="http://schemas.openxmlformats.org/officeDocument/2006/relationships/hyperlink" Target="https://youtu.be/njnn7HX7Hk8" TargetMode="External"/><Relationship Id="rId166" Type="http://schemas.openxmlformats.org/officeDocument/2006/relationships/hyperlink" Target="https://medal.tv/es/games/geometry-dash/clips/jrAkc5hCwrcHevLGi/M50ZPNFYxH5s?invite=cr-MSxJRGksMTc3OTcwOTg0LA" TargetMode="External"/><Relationship Id="rId287" Type="http://schemas.openxmlformats.org/officeDocument/2006/relationships/hyperlink" Target="https://www.youtube.com/watch?v=tKdXdZUzLVk" TargetMode="External"/><Relationship Id="rId161" Type="http://schemas.openxmlformats.org/officeDocument/2006/relationships/hyperlink" Target="https://www.youtube.com/watch?v=V7ye7VtD8O4&amp;" TargetMode="External"/><Relationship Id="rId282" Type="http://schemas.openxmlformats.org/officeDocument/2006/relationships/hyperlink" Target="https://www.youtube.com/watch?v=WSVLVd0MXIg" TargetMode="External"/><Relationship Id="rId160" Type="http://schemas.openxmlformats.org/officeDocument/2006/relationships/hyperlink" Target="https://www.youtube.com/watch?v=qy5l-Qv0dQs" TargetMode="External"/><Relationship Id="rId281" Type="http://schemas.openxmlformats.org/officeDocument/2006/relationships/hyperlink" Target="https://youtu.be/AvB8T7kqmZY?si=qPLR3smcJXO9vbth" TargetMode="External"/><Relationship Id="rId280" Type="http://schemas.openxmlformats.org/officeDocument/2006/relationships/hyperlink" Target="https://youtu.be/4NiYlcfTfRw?si=GJ2O3JGYvgPY-qpW" TargetMode="External"/><Relationship Id="rId159" Type="http://schemas.openxmlformats.org/officeDocument/2006/relationships/hyperlink" Target="https://www.youtube.com/watch?v=xjW5H7fWtJY" TargetMode="External"/><Relationship Id="rId154" Type="http://schemas.openxmlformats.org/officeDocument/2006/relationships/hyperlink" Target="https://www.youtube.com/watch?v=EcCgfZPQ9qE" TargetMode="External"/><Relationship Id="rId275" Type="http://schemas.openxmlformats.org/officeDocument/2006/relationships/hyperlink" Target="https://www.youtube.com/watch?v=Dz1glygn5uA" TargetMode="External"/><Relationship Id="rId396" Type="http://schemas.openxmlformats.org/officeDocument/2006/relationships/hyperlink" Target="https://youtu.be/mwiSRZhLwlg" TargetMode="External"/><Relationship Id="rId153" Type="http://schemas.openxmlformats.org/officeDocument/2006/relationships/hyperlink" Target="https://www.youtube.com/watch?v=ZteSvquek6M&amp;t=1s&amp;ab_channel=Skyllz" TargetMode="External"/><Relationship Id="rId274" Type="http://schemas.openxmlformats.org/officeDocument/2006/relationships/hyperlink" Target="https://youtu.be/VVkjGSmV4Wo" TargetMode="External"/><Relationship Id="rId395" Type="http://schemas.openxmlformats.org/officeDocument/2006/relationships/hyperlink" Target="https://youtu.be/lvkHG_5mSnA" TargetMode="External"/><Relationship Id="rId152" Type="http://schemas.openxmlformats.org/officeDocument/2006/relationships/hyperlink" Target="https://www.youtube.com/watch?v=AAf4u6QAUR4&amp;t=8s&amp;pp=ygURZ2RuYWNobyBibG9vZGJhdGg%3D" TargetMode="External"/><Relationship Id="rId273" Type="http://schemas.openxmlformats.org/officeDocument/2006/relationships/hyperlink" Target="https://youtu.be/OWgfU_tFw4w" TargetMode="External"/><Relationship Id="rId394" Type="http://schemas.openxmlformats.org/officeDocument/2006/relationships/hyperlink" Target="https://youtu.be/eahCRm-eBSc" TargetMode="External"/><Relationship Id="rId151" Type="http://schemas.openxmlformats.org/officeDocument/2006/relationships/hyperlink" Target="https://youtu.be/gKs4Po-NFgc?list=PLWOoVYfOzoyX2FVTYd3xe2vCPqw9zZcp-" TargetMode="External"/><Relationship Id="rId272" Type="http://schemas.openxmlformats.org/officeDocument/2006/relationships/hyperlink" Target="https://www.youtube.com/watch?v=FakTjJH1bZY&amp;ab_channel=MaxinderGD" TargetMode="External"/><Relationship Id="rId393" Type="http://schemas.openxmlformats.org/officeDocument/2006/relationships/hyperlink" Target="https://youtu.be/QMcr2w6Gs0M" TargetMode="External"/><Relationship Id="rId158" Type="http://schemas.openxmlformats.org/officeDocument/2006/relationships/hyperlink" Target="https://www.youtube.com/watch?v=_tzpJ4x_to8" TargetMode="External"/><Relationship Id="rId279" Type="http://schemas.openxmlformats.org/officeDocument/2006/relationships/hyperlink" Target="https://www.youtube.com/watch?v=MABQtIre6LQ" TargetMode="External"/><Relationship Id="rId157" Type="http://schemas.openxmlformats.org/officeDocument/2006/relationships/hyperlink" Target="https://www.youtube.com/watch?v=olMR0AwhSJg" TargetMode="External"/><Relationship Id="rId278" Type="http://schemas.openxmlformats.org/officeDocument/2006/relationships/hyperlink" Target="https://www.youtube.com/watch?v=7BnFtlxD2yo" TargetMode="External"/><Relationship Id="rId399" Type="http://schemas.openxmlformats.org/officeDocument/2006/relationships/hyperlink" Target="https://youtu.be/jPrR8jOd90c?si=FBp39NlQLrgnEkRQ" TargetMode="External"/><Relationship Id="rId156" Type="http://schemas.openxmlformats.org/officeDocument/2006/relationships/hyperlink" Target="https://www.youtube.com/watch?v=JvM24MuUqXY" TargetMode="External"/><Relationship Id="rId277" Type="http://schemas.openxmlformats.org/officeDocument/2006/relationships/hyperlink" Target="https://www.youtube.com/watch?v=QaAzSwmLl7k&amp;feature=youtu.be" TargetMode="External"/><Relationship Id="rId398" Type="http://schemas.openxmlformats.org/officeDocument/2006/relationships/hyperlink" Target="https://youtu.be/x0u0WQ428sU" TargetMode="External"/><Relationship Id="rId155" Type="http://schemas.openxmlformats.org/officeDocument/2006/relationships/hyperlink" Target="https://www.youtube.com/watch?v=jyqNipnQUsQ" TargetMode="External"/><Relationship Id="rId276" Type="http://schemas.openxmlformats.org/officeDocument/2006/relationships/hyperlink" Target="https://youtu.be/YPNkkYwcUDE" TargetMode="External"/><Relationship Id="rId397" Type="http://schemas.openxmlformats.org/officeDocument/2006/relationships/hyperlink" Target="https://youtu.be/75tUt7TAEJA" TargetMode="External"/><Relationship Id="rId40" Type="http://schemas.openxmlformats.org/officeDocument/2006/relationships/hyperlink" Target="https://www.youtube.com/watch?v=1YElK-JuMkc&amp;t=28s&amp;pp=ygUJcmVkZWxla3lz" TargetMode="External"/><Relationship Id="rId42" Type="http://schemas.openxmlformats.org/officeDocument/2006/relationships/hyperlink" Target="https://youtu.be/iWHjV9_wLUI" TargetMode="External"/><Relationship Id="rId41" Type="http://schemas.openxmlformats.org/officeDocument/2006/relationships/hyperlink" Target="https://youtu.be/t7Fg4ptp01Y?si=nM2924MAhhZoRniE" TargetMode="External"/><Relationship Id="rId44" Type="http://schemas.openxmlformats.org/officeDocument/2006/relationships/hyperlink" Target="https://www.youtube.com/watch?v=BvTGHR7YzVE&amp;t=352s&amp;pp=ygURam9hcXVlbWl4IG9taWNyb24%3D" TargetMode="External"/><Relationship Id="rId43" Type="http://schemas.openxmlformats.org/officeDocument/2006/relationships/hyperlink" Target="https://www.youtube.com/watch?v=_dvcWcvnPFI" TargetMode="External"/><Relationship Id="rId46" Type="http://schemas.openxmlformats.org/officeDocument/2006/relationships/hyperlink" Target="https://www.youtube.com/watch?v=8VFfNAdcXz8" TargetMode="External"/><Relationship Id="rId45" Type="http://schemas.openxmlformats.org/officeDocument/2006/relationships/hyperlink" Target="https://www.youtube.com/watch?v=7KRlJzPhO1Y" TargetMode="External"/><Relationship Id="rId508" Type="http://schemas.openxmlformats.org/officeDocument/2006/relationships/vmlDrawing" Target="../drawings/vmlDrawing1.vml"/><Relationship Id="rId503" Type="http://schemas.openxmlformats.org/officeDocument/2006/relationships/hyperlink" Target="https://www.youtube.com/watch?v=jVJhcX1rKHs&amp;ab_channel=MaxinderGD" TargetMode="External"/><Relationship Id="rId502" Type="http://schemas.openxmlformats.org/officeDocument/2006/relationships/hyperlink" Target="https://www.youtube.com/watch?v=Nhk73jAQ4DE&amp;ab_channel=AndresBeltran" TargetMode="External"/><Relationship Id="rId501" Type="http://schemas.openxmlformats.org/officeDocument/2006/relationships/hyperlink" Target="https://www.youtube.com/watch?v=niMI1-bcbRE" TargetMode="External"/><Relationship Id="rId500" Type="http://schemas.openxmlformats.org/officeDocument/2006/relationships/hyperlink" Target="https://www.youtube.com/watch?v=o6M9sfysq_4" TargetMode="External"/><Relationship Id="rId507" Type="http://schemas.openxmlformats.org/officeDocument/2006/relationships/drawing" Target="../drawings/drawing1.xml"/><Relationship Id="rId506" Type="http://schemas.openxmlformats.org/officeDocument/2006/relationships/hyperlink" Target="https://www.youtube.com/watch?v=8dFRpK4fNXY" TargetMode="External"/><Relationship Id="rId505" Type="http://schemas.openxmlformats.org/officeDocument/2006/relationships/hyperlink" Target="https://www.youtube.com/watch?v=ZCAycYyjqSY" TargetMode="External"/><Relationship Id="rId504" Type="http://schemas.openxmlformats.org/officeDocument/2006/relationships/hyperlink" Target="https://www.youtube.com/watch?v=MvgT7NHRKdM" TargetMode="External"/><Relationship Id="rId48" Type="http://schemas.openxmlformats.org/officeDocument/2006/relationships/hyperlink" Target="https://youtu.be/ezBaczBWnKA" TargetMode="External"/><Relationship Id="rId47" Type="http://schemas.openxmlformats.org/officeDocument/2006/relationships/hyperlink" Target="http://youtube.com/watch?v=H__myhXfnIg" TargetMode="External"/><Relationship Id="rId49" Type="http://schemas.openxmlformats.org/officeDocument/2006/relationships/hyperlink" Target="https://www.youtube.com/watch?v=ZYr2wfXcNOA&amp;t=1s&amp;ab_channel=Joaquemix" TargetMode="External"/><Relationship Id="rId31" Type="http://schemas.openxmlformats.org/officeDocument/2006/relationships/hyperlink" Target="https://www.youtube.com/watch?v=PrrGfMuZnT8" TargetMode="External"/><Relationship Id="rId30" Type="http://schemas.openxmlformats.org/officeDocument/2006/relationships/hyperlink" Target="https://youtu.be/keW6oKrdYeA" TargetMode="External"/><Relationship Id="rId33" Type="http://schemas.openxmlformats.org/officeDocument/2006/relationships/hyperlink" Target="https://www.twitch.tv/videos/2529712898" TargetMode="External"/><Relationship Id="rId32" Type="http://schemas.openxmlformats.org/officeDocument/2006/relationships/hyperlink" Target="https://www.youtube.com/watch?v=7KvSabvGyvA&amp;t=1s" TargetMode="External"/><Relationship Id="rId35" Type="http://schemas.openxmlformats.org/officeDocument/2006/relationships/hyperlink" Target="https://youtu.be/uM9whIXz3GE" TargetMode="External"/><Relationship Id="rId34" Type="http://schemas.openxmlformats.org/officeDocument/2006/relationships/hyperlink" Target="https://www.youtube.com/watch?v=PTZyyZEM6D4&amp;t=3s" TargetMode="External"/><Relationship Id="rId37" Type="http://schemas.openxmlformats.org/officeDocument/2006/relationships/hyperlink" Target="https://www.youtube.com/watch?v=kje12YGl5HY" TargetMode="External"/><Relationship Id="rId36" Type="http://schemas.openxmlformats.org/officeDocument/2006/relationships/hyperlink" Target="https://youtu.be/VVsciEKQckI?si=ALb1RS_eURMr8Y2B" TargetMode="External"/><Relationship Id="rId39" Type="http://schemas.openxmlformats.org/officeDocument/2006/relationships/hyperlink" Target="https://www.youtube.com/watch?v=JiwpsEPpTRA" TargetMode="External"/><Relationship Id="rId38" Type="http://schemas.openxmlformats.org/officeDocument/2006/relationships/hyperlink" Target="https://youtu.be/bsDMICqL4NA" TargetMode="External"/><Relationship Id="rId20" Type="http://schemas.openxmlformats.org/officeDocument/2006/relationships/hyperlink" Target="https://www.youtube.com/watch?v=vvDqdI5xfmo" TargetMode="External"/><Relationship Id="rId22" Type="http://schemas.openxmlformats.org/officeDocument/2006/relationships/hyperlink" Target="https://www.youtube.com/watch?v=XsQvHJ0Zh00" TargetMode="External"/><Relationship Id="rId21" Type="http://schemas.openxmlformats.org/officeDocument/2006/relationships/hyperlink" Target="https://www.youtube.com/watch?v=SlRDXXef8Qg" TargetMode="External"/><Relationship Id="rId24" Type="http://schemas.openxmlformats.org/officeDocument/2006/relationships/hyperlink" Target="https://www.youtube.com/watch?v=_H7kimx8tYE&amp;ab_channel=ijoakko" TargetMode="External"/><Relationship Id="rId23" Type="http://schemas.openxmlformats.org/officeDocument/2006/relationships/hyperlink" Target="https://www.youtube.com/watch?v=zWJtLAwLTq8" TargetMode="External"/><Relationship Id="rId409" Type="http://schemas.openxmlformats.org/officeDocument/2006/relationships/hyperlink" Target="https://youtu.be/jWd0blQaCOY" TargetMode="External"/><Relationship Id="rId404" Type="http://schemas.openxmlformats.org/officeDocument/2006/relationships/hyperlink" Target="https://medal.tv/es/games/geometry-dash/clips/jrAkc5hCwrcHevLGi/M50ZPNFYxH5s?invite=cr-MSxJRGksMTc3OTcwOTg0LA" TargetMode="External"/><Relationship Id="rId403" Type="http://schemas.openxmlformats.org/officeDocument/2006/relationships/hyperlink" Target="https://www.youtube.com/watch?v=Dm50ekGtpk8" TargetMode="External"/><Relationship Id="rId402" Type="http://schemas.openxmlformats.org/officeDocument/2006/relationships/hyperlink" Target="https://www.youtube.com/watch?v=kVkbx13wnus" TargetMode="External"/><Relationship Id="rId401" Type="http://schemas.openxmlformats.org/officeDocument/2006/relationships/hyperlink" Target="https://www.youtube.com/watch?v=FljVj7T79IM&amp;ab_channel=Fallingboii_" TargetMode="External"/><Relationship Id="rId408" Type="http://schemas.openxmlformats.org/officeDocument/2006/relationships/hyperlink" Target="https://youtu.be/Y4F8I0pV7eM" TargetMode="External"/><Relationship Id="rId407" Type="http://schemas.openxmlformats.org/officeDocument/2006/relationships/hyperlink" Target="https://www.youtube.com/watch?v=lGnF-U11CWY" TargetMode="External"/><Relationship Id="rId406" Type="http://schemas.openxmlformats.org/officeDocument/2006/relationships/hyperlink" Target="https://www.youtube.com/watch?v=PimJe95OAn8" TargetMode="External"/><Relationship Id="rId405" Type="http://schemas.openxmlformats.org/officeDocument/2006/relationships/hyperlink" Target="https://youtu.be/dBQvpVG3BBI" TargetMode="External"/><Relationship Id="rId26" Type="http://schemas.openxmlformats.org/officeDocument/2006/relationships/hyperlink" Target="https://www.youtube.com/watch?v=pO2UCKtTYWU&amp;t=263s&amp;pp=ygUUc29uaWMgd2F2ZSBqb2FxdWVtaXg%3D" TargetMode="External"/><Relationship Id="rId25" Type="http://schemas.openxmlformats.org/officeDocument/2006/relationships/hyperlink" Target="https://www.twitch.tv/videos/2524307007?filter=all&amp;sort=time" TargetMode="External"/><Relationship Id="rId28" Type="http://schemas.openxmlformats.org/officeDocument/2006/relationships/hyperlink" Target="https://www.youtube.com/watch?v=sEdHdpVE3Wg" TargetMode="External"/><Relationship Id="rId27" Type="http://schemas.openxmlformats.org/officeDocument/2006/relationships/hyperlink" Target="https://www.youtube.com/watch?v=cR6jRkXe4NA" TargetMode="External"/><Relationship Id="rId400" Type="http://schemas.openxmlformats.org/officeDocument/2006/relationships/hyperlink" Target="https://www.youtube.com/watch?v=qwZE_bPJJJs" TargetMode="External"/><Relationship Id="rId29" Type="http://schemas.openxmlformats.org/officeDocument/2006/relationships/hyperlink" Target="https://www.twitch.tv/videos/2508271501" TargetMode="External"/><Relationship Id="rId11" Type="http://schemas.openxmlformats.org/officeDocument/2006/relationships/hyperlink" Target="https://www.youtube.com/watch?v=Nd-0qeX0H7Q" TargetMode="External"/><Relationship Id="rId10" Type="http://schemas.openxmlformats.org/officeDocument/2006/relationships/hyperlink" Target="https://www.youtube.com/watch?v=VqjFFQwQk_Q" TargetMode="External"/><Relationship Id="rId13" Type="http://schemas.openxmlformats.org/officeDocument/2006/relationships/hyperlink" Target="https://www.youtube.com/watch?v=Q2vopXoYkAY" TargetMode="External"/><Relationship Id="rId12" Type="http://schemas.openxmlformats.org/officeDocument/2006/relationships/hyperlink" Target="https://www.youtube.com/watch?v=bjFJ-eXT6gw" TargetMode="External"/><Relationship Id="rId15" Type="http://schemas.openxmlformats.org/officeDocument/2006/relationships/hyperlink" Target="https://www.youtube.com/watch?v=YtBqQ_jIQ6o" TargetMode="External"/><Relationship Id="rId14" Type="http://schemas.openxmlformats.org/officeDocument/2006/relationships/hyperlink" Target="https://youtu.be/nfi_1m1aToc" TargetMode="External"/><Relationship Id="rId17" Type="http://schemas.openxmlformats.org/officeDocument/2006/relationships/hyperlink" Target="https://www.youtube.com/watch?v=X0CuBf3jbDU&amp;t=118s&amp;pp=ygUXYXJjdGljIGxpZ2h0cyBqb2FxdWVtaXg%3D" TargetMode="External"/><Relationship Id="rId16" Type="http://schemas.openxmlformats.org/officeDocument/2006/relationships/hyperlink" Target="https://youtu.be/-QRbugvcsWc" TargetMode="External"/><Relationship Id="rId19" Type="http://schemas.openxmlformats.org/officeDocument/2006/relationships/hyperlink" Target="https://www.youtube.com/watch?v=kT2QIU5-xyU" TargetMode="External"/><Relationship Id="rId18" Type="http://schemas.openxmlformats.org/officeDocument/2006/relationships/hyperlink" Target="https://www.youtube.com/watch?v=AfDXD1O4pIo&amp;ab_channel=cxve" TargetMode="External"/><Relationship Id="rId84" Type="http://schemas.openxmlformats.org/officeDocument/2006/relationships/hyperlink" Target="https://youtu.be/fBgUWk-MCaw" TargetMode="External"/><Relationship Id="rId83" Type="http://schemas.openxmlformats.org/officeDocument/2006/relationships/hyperlink" Target="https://www.youtube.com/watch?v=Jke-qE6DVio" TargetMode="External"/><Relationship Id="rId86" Type="http://schemas.openxmlformats.org/officeDocument/2006/relationships/hyperlink" Target="https://www.youtube.com/watch?v=6vtXwKEAwBc" TargetMode="External"/><Relationship Id="rId85" Type="http://schemas.openxmlformats.org/officeDocument/2006/relationships/hyperlink" Target="https://www.youtube.com/watch?v=YoSLqpCdJrk&amp;t=178s&amp;pp=ygUPam9hcXVlbWl4IGRvbG9z" TargetMode="External"/><Relationship Id="rId88" Type="http://schemas.openxmlformats.org/officeDocument/2006/relationships/hyperlink" Target="https://youtu.be/iim11sMt8oQ" TargetMode="External"/><Relationship Id="rId87" Type="http://schemas.openxmlformats.org/officeDocument/2006/relationships/hyperlink" Target="https://www.youtube.com/watch?v=y2y07crm6ZY" TargetMode="External"/><Relationship Id="rId89" Type="http://schemas.openxmlformats.org/officeDocument/2006/relationships/hyperlink" Target="https://www.youtube.com/watch?v=7K4Jg7HA7kI&amp;pp=ygUJcmVkZWxla3lz" TargetMode="External"/><Relationship Id="rId80" Type="http://schemas.openxmlformats.org/officeDocument/2006/relationships/hyperlink" Target="https://www.youtube.com/watch?v=lRtURnkJrxY" TargetMode="External"/><Relationship Id="rId82" Type="http://schemas.openxmlformats.org/officeDocument/2006/relationships/hyperlink" Target="https://www.youtube.com/watch?v=1DUiZM1CeIk&amp;t=162s&amp;pp=ygUdam9hcXVlbWl4IHN1cmdlIG9mIHRoZSBzaGllbGQ%3D" TargetMode="External"/><Relationship Id="rId81" Type="http://schemas.openxmlformats.org/officeDocument/2006/relationships/hyperlink" Target="https://www.youtube.com/watch?v=MrecvJLNTIE" TargetMode="External"/><Relationship Id="rId73" Type="http://schemas.openxmlformats.org/officeDocument/2006/relationships/hyperlink" Target="https://youtu.be/_IBdnNiYaJ8" TargetMode="External"/><Relationship Id="rId72" Type="http://schemas.openxmlformats.org/officeDocument/2006/relationships/hyperlink" Target="https://youtu.be/xSHvW2Wzpgo?si=hvlrVWLqUlLXFEbP" TargetMode="External"/><Relationship Id="rId75" Type="http://schemas.openxmlformats.org/officeDocument/2006/relationships/hyperlink" Target="https://youtu.be/c0DyXI7X1Wc" TargetMode="External"/><Relationship Id="rId74" Type="http://schemas.openxmlformats.org/officeDocument/2006/relationships/hyperlink" Target="https://pointercrate.com/demonlist/statsviewer?player=42284" TargetMode="External"/><Relationship Id="rId77" Type="http://schemas.openxmlformats.org/officeDocument/2006/relationships/hyperlink" Target="https://youtu.be/s3TpXCE6pc4" TargetMode="External"/><Relationship Id="rId76" Type="http://schemas.openxmlformats.org/officeDocument/2006/relationships/hyperlink" Target="https://youtu.be/d4N7Y1w44hk?t=133" TargetMode="External"/><Relationship Id="rId79" Type="http://schemas.openxmlformats.org/officeDocument/2006/relationships/hyperlink" Target="https://www.twitch.tv/videos/2524307010?filter=all&amp;sort=time" TargetMode="External"/><Relationship Id="rId78" Type="http://schemas.openxmlformats.org/officeDocument/2006/relationships/hyperlink" Target="https://www.youtube.com/watch?v=5PgsdCIiiaQ" TargetMode="External"/><Relationship Id="rId71" Type="http://schemas.openxmlformats.org/officeDocument/2006/relationships/hyperlink" Target="https://youtu.be/j3L1JwHfEWg?si=bFlFpkpx-YEm5Y8U" TargetMode="External"/><Relationship Id="rId70" Type="http://schemas.openxmlformats.org/officeDocument/2006/relationships/hyperlink" Target="https://www.twitch.tv/videos/2527886186?filter=all&amp;sort=time" TargetMode="External"/><Relationship Id="rId62" Type="http://schemas.openxmlformats.org/officeDocument/2006/relationships/hyperlink" Target="https://www.youtube.com/watch?v=i-ogPFB-sr0" TargetMode="External"/><Relationship Id="rId61" Type="http://schemas.openxmlformats.org/officeDocument/2006/relationships/hyperlink" Target="https://medal.tv/es/games/geometry-dash/clips/1OCqW7kF95G8jX/cB9uQZTRtjrF?invite=cr-MSxlNG0sNTI2NzAxMDMs?mobilebypass=true" TargetMode="External"/><Relationship Id="rId64" Type="http://schemas.openxmlformats.org/officeDocument/2006/relationships/hyperlink" Target="https://www.youtube.com/watch?v=wayGjQI538A" TargetMode="External"/><Relationship Id="rId63" Type="http://schemas.openxmlformats.org/officeDocument/2006/relationships/hyperlink" Target="https://www.youtube.com/watch?v=4MA5rZJxJ2I" TargetMode="External"/><Relationship Id="rId66" Type="http://schemas.openxmlformats.org/officeDocument/2006/relationships/hyperlink" Target="https://youtu.be/iPf9-Z4ME34?si=VRuLYue_f50A5Yrt" TargetMode="External"/><Relationship Id="rId65" Type="http://schemas.openxmlformats.org/officeDocument/2006/relationships/hyperlink" Target="https://www.twitch.tv/videos/2484515233?filter=all&amp;sort=time" TargetMode="External"/><Relationship Id="rId68" Type="http://schemas.openxmlformats.org/officeDocument/2006/relationships/hyperlink" Target="https://youtu.be/c7E_SyoAZjg?si=3JBWgCZBOLHbVcxo" TargetMode="External"/><Relationship Id="rId67" Type="http://schemas.openxmlformats.org/officeDocument/2006/relationships/hyperlink" Target="https://medal.tv/es/games/geometry-dash/clips/1Q0LcKJ8SjIhLb/PEfpg85eVjJQ?invite=cr-MSwyOXAsNTI2NzAxMDMs?mobilebypass=true" TargetMode="External"/><Relationship Id="rId60" Type="http://schemas.openxmlformats.org/officeDocument/2006/relationships/hyperlink" Target="https://www.youtube.com/watch?v=lh2jULJ38UA" TargetMode="External"/><Relationship Id="rId69" Type="http://schemas.openxmlformats.org/officeDocument/2006/relationships/hyperlink" Target="https://www.youtube.com/watch?v=3QoA7Gzba58" TargetMode="External"/><Relationship Id="rId51" Type="http://schemas.openxmlformats.org/officeDocument/2006/relationships/hyperlink" Target="https://www.youtube.com/watch?v=Bxv9iYhjt-w" TargetMode="External"/><Relationship Id="rId50" Type="http://schemas.openxmlformats.org/officeDocument/2006/relationships/hyperlink" Target="https://www.youtube.com/watch?v=wB-k-CuTvEI" TargetMode="External"/><Relationship Id="rId53" Type="http://schemas.openxmlformats.org/officeDocument/2006/relationships/hyperlink" Target="https://www.youtube.com/watch?v=4tDElA9Ac8w&amp;pp=ygUPam9hcXVlbWl4IDIgMSAx" TargetMode="External"/><Relationship Id="rId52" Type="http://schemas.openxmlformats.org/officeDocument/2006/relationships/hyperlink" Target="https://www.youtube.com/watch?v=Jw9RZ7hqFFs" TargetMode="External"/><Relationship Id="rId55" Type="http://schemas.openxmlformats.org/officeDocument/2006/relationships/hyperlink" Target="https://medal.tv/es/games/geometry-dash/clips/jrY0U3tbpLTyFQytZ/CgMZrTdrtkZ9?invite=cr-MSxQWTIsMTc3OTcwOTg0LA" TargetMode="External"/><Relationship Id="rId54" Type="http://schemas.openxmlformats.org/officeDocument/2006/relationships/hyperlink" Target="https://medal.tv/es/games/geometry-dash/clips/1TBSz4n961ZEwU/WyfRlty7IYR4?invite=cr-MSxVQVQsNTI2NzAxMDMs?mobilebypass=true" TargetMode="External"/><Relationship Id="rId57" Type="http://schemas.openxmlformats.org/officeDocument/2006/relationships/hyperlink" Target="https://youtu.be/aIM3yweufTs" TargetMode="External"/><Relationship Id="rId56" Type="http://schemas.openxmlformats.org/officeDocument/2006/relationships/hyperlink" Target="https://www.youtube.com/watch?v=S-3l-Cx_pcE" TargetMode="External"/><Relationship Id="rId59" Type="http://schemas.openxmlformats.org/officeDocument/2006/relationships/hyperlink" Target="https://youtu.be/WE6U0PoPgMk" TargetMode="External"/><Relationship Id="rId58" Type="http://schemas.openxmlformats.org/officeDocument/2006/relationships/hyperlink" Target="https://www.youtube.com/watch?v=XmL-Y7Wq4zQ" TargetMode="External"/><Relationship Id="rId107" Type="http://schemas.openxmlformats.org/officeDocument/2006/relationships/hyperlink" Target="https://youtu.be/VOuHFYRl2qQ%20nivel%20tan%20malo%20que%20tenes%20que%20pausar%20y%20cambiar%20de%20teclas" TargetMode="External"/><Relationship Id="rId228" Type="http://schemas.openxmlformats.org/officeDocument/2006/relationships/hyperlink" Target="https://www.youtube.com/watch?v=8h4wjKmFQhw" TargetMode="External"/><Relationship Id="rId349" Type="http://schemas.openxmlformats.org/officeDocument/2006/relationships/hyperlink" Target="https://www.youtube.com/watch?v=uDZMeqgk_m8" TargetMode="External"/><Relationship Id="rId106" Type="http://schemas.openxmlformats.org/officeDocument/2006/relationships/hyperlink" Target="https://www.youtube.com/watch?v=HKAEOLUbPRM" TargetMode="External"/><Relationship Id="rId227" Type="http://schemas.openxmlformats.org/officeDocument/2006/relationships/hyperlink" Target="https://www.youtube.com/watch?v=VSJquyJSbGc" TargetMode="External"/><Relationship Id="rId348" Type="http://schemas.openxmlformats.org/officeDocument/2006/relationships/hyperlink" Target="https://www.youtube.com/watch?v=g6ZBqdrf-yU&amp;ab_channel=Redelekys" TargetMode="External"/><Relationship Id="rId469" Type="http://schemas.openxmlformats.org/officeDocument/2006/relationships/hyperlink" Target="https://www.youtube.com/watch?v=jClT3_Bdf5c" TargetMode="External"/><Relationship Id="rId105" Type="http://schemas.openxmlformats.org/officeDocument/2006/relationships/hyperlink" Target="https://www.youtube.com/watch?v=KjE_r_8N54s" TargetMode="External"/><Relationship Id="rId226" Type="http://schemas.openxmlformats.org/officeDocument/2006/relationships/hyperlink" Target="https://youtu.be/2vaTGJjXxcs" TargetMode="External"/><Relationship Id="rId347" Type="http://schemas.openxmlformats.org/officeDocument/2006/relationships/hyperlink" Target="https://www.youtube.com/watch?v=bRwdjkNvGRo&amp;ab_channel=%CF%80zza" TargetMode="External"/><Relationship Id="rId468" Type="http://schemas.openxmlformats.org/officeDocument/2006/relationships/hyperlink" Target="https://www.youtube.com/watch?v=lpU-zWdlT14&amp;feature=youtu.be" TargetMode="External"/><Relationship Id="rId104" Type="http://schemas.openxmlformats.org/officeDocument/2006/relationships/hyperlink" Target="https://youtu.be/FtkCVEOAFr0" TargetMode="External"/><Relationship Id="rId225" Type="http://schemas.openxmlformats.org/officeDocument/2006/relationships/hyperlink" Target="https://www.youtube.com/watch?v=JuZ3clmVx0I" TargetMode="External"/><Relationship Id="rId346" Type="http://schemas.openxmlformats.org/officeDocument/2006/relationships/hyperlink" Target="https://www.youtube.com/watch?v=XrJh4BzcK3o&amp;t=1s" TargetMode="External"/><Relationship Id="rId467" Type="http://schemas.openxmlformats.org/officeDocument/2006/relationships/hyperlink" Target="https://www.youtube.com/watch?v=0A7l4EEr7d8" TargetMode="External"/><Relationship Id="rId109" Type="http://schemas.openxmlformats.org/officeDocument/2006/relationships/hyperlink" Target="https://www.youtube.com/watch?v=kM0l64QQK7k&amp;pp=ygUYZ2RuYWNobyBibGFkZSBvZiBqdXN0aWNl" TargetMode="External"/><Relationship Id="rId108" Type="http://schemas.openxmlformats.org/officeDocument/2006/relationships/hyperlink" Target="https://www.youtube.com/watch?v=mpXlMqCswag" TargetMode="External"/><Relationship Id="rId229" Type="http://schemas.openxmlformats.org/officeDocument/2006/relationships/hyperlink" Target="https://www.youtube.com/watch?v=V3DLklNj_H4" TargetMode="External"/><Relationship Id="rId220" Type="http://schemas.openxmlformats.org/officeDocument/2006/relationships/hyperlink" Target="https://www.youtube.com/watch?v=BGcY5zjoBa8" TargetMode="External"/><Relationship Id="rId341" Type="http://schemas.openxmlformats.org/officeDocument/2006/relationships/hyperlink" Target="https://www.youtube.com/watch?v=d5RYeJPP_38" TargetMode="External"/><Relationship Id="rId462" Type="http://schemas.openxmlformats.org/officeDocument/2006/relationships/hyperlink" Target="https://youtu.be/voFMZM6THFI" TargetMode="External"/><Relationship Id="rId340" Type="http://schemas.openxmlformats.org/officeDocument/2006/relationships/hyperlink" Target="https://www.youtube.com/watch?v=Fvrk86Qmyok" TargetMode="External"/><Relationship Id="rId461" Type="http://schemas.openxmlformats.org/officeDocument/2006/relationships/hyperlink" Target="https://www.youtube.com/watch?v=XQpIoqvP5dw" TargetMode="External"/><Relationship Id="rId460" Type="http://schemas.openxmlformats.org/officeDocument/2006/relationships/hyperlink" Target="https://youtu.be/LH1zem9e27Y" TargetMode="External"/><Relationship Id="rId103" Type="http://schemas.openxmlformats.org/officeDocument/2006/relationships/hyperlink" Target="https://youtu.be/HM9I9fZVevc" TargetMode="External"/><Relationship Id="rId224" Type="http://schemas.openxmlformats.org/officeDocument/2006/relationships/hyperlink" Target="https://www.youtube.com/watch?v=R_DzOde0mNU" TargetMode="External"/><Relationship Id="rId345" Type="http://schemas.openxmlformats.org/officeDocument/2006/relationships/hyperlink" Target="https://www.youtube.com/watch?v=2kBCFxLZj9w" TargetMode="External"/><Relationship Id="rId466" Type="http://schemas.openxmlformats.org/officeDocument/2006/relationships/hyperlink" Target="https://youtu.be/eGBoRf7hrm0" TargetMode="External"/><Relationship Id="rId102" Type="http://schemas.openxmlformats.org/officeDocument/2006/relationships/hyperlink" Target="https://youtu.be/hyBjG7k_37w" TargetMode="External"/><Relationship Id="rId223" Type="http://schemas.openxmlformats.org/officeDocument/2006/relationships/hyperlink" Target="https://youtu.be/Qq5WSGqiO_0" TargetMode="External"/><Relationship Id="rId344" Type="http://schemas.openxmlformats.org/officeDocument/2006/relationships/hyperlink" Target="https://youtu.be/5TasgxugOv0" TargetMode="External"/><Relationship Id="rId465" Type="http://schemas.openxmlformats.org/officeDocument/2006/relationships/hyperlink" Target="https://www.youtube.com/watch?v=DkpynV8JikY&amp;ab_channel=DoYouself" TargetMode="External"/><Relationship Id="rId101" Type="http://schemas.openxmlformats.org/officeDocument/2006/relationships/hyperlink" Target="https://www.youtube.com/watch?v=QwdlIhQ6wQw" TargetMode="External"/><Relationship Id="rId222" Type="http://schemas.openxmlformats.org/officeDocument/2006/relationships/hyperlink" Target="https://youtu.be/CzhH8uxrvcw" TargetMode="External"/><Relationship Id="rId343" Type="http://schemas.openxmlformats.org/officeDocument/2006/relationships/hyperlink" Target="https://www.youtube.com/watch?v=AOcJpsObtT4" TargetMode="External"/><Relationship Id="rId464" Type="http://schemas.openxmlformats.org/officeDocument/2006/relationships/hyperlink" Target="https://www.youtube.com/watch?v=nCLdACyqEgo" TargetMode="External"/><Relationship Id="rId100" Type="http://schemas.openxmlformats.org/officeDocument/2006/relationships/hyperlink" Target="https://www.youtube.com/watch?v=brFug1pCiWg" TargetMode="External"/><Relationship Id="rId221" Type="http://schemas.openxmlformats.org/officeDocument/2006/relationships/hyperlink" Target="https://medal.tv/es/games/geometry-dash/clips/jrG8OBf6RNOt5ZobK/FsH1atAQLvAn?invite=cr-MSxzY3IsMTc3OTcwOTg0LA" TargetMode="External"/><Relationship Id="rId342" Type="http://schemas.openxmlformats.org/officeDocument/2006/relationships/hyperlink" Target="https://www.youtube.com/watch?v=i1po6u66jH8" TargetMode="External"/><Relationship Id="rId463" Type="http://schemas.openxmlformats.org/officeDocument/2006/relationships/hyperlink" Target="https://youtu.be/YCXv2AGH2es?si=Q7_qsnJPGTuAw1UL" TargetMode="External"/><Relationship Id="rId217" Type="http://schemas.openxmlformats.org/officeDocument/2006/relationships/hyperlink" Target="https://www.youtube.com/watch?v=b30uvqgApsY&amp;ab_channel=DoYouself" TargetMode="External"/><Relationship Id="rId338" Type="http://schemas.openxmlformats.org/officeDocument/2006/relationships/hyperlink" Target="https://youtu.be/q1qy1ziW4zM" TargetMode="External"/><Relationship Id="rId459" Type="http://schemas.openxmlformats.org/officeDocument/2006/relationships/hyperlink" Target="https://www.youtube.com/watch?v=XCOMQxEbFgg" TargetMode="External"/><Relationship Id="rId216" Type="http://schemas.openxmlformats.org/officeDocument/2006/relationships/hyperlink" Target="https://www.youtube.com/watch?v=hy0zT4GnL3U&amp;ab_channel=MaxinderGD" TargetMode="External"/><Relationship Id="rId337" Type="http://schemas.openxmlformats.org/officeDocument/2006/relationships/hyperlink" Target="https://www.youtube.com/watch?v=mdwpjMFQkdg" TargetMode="External"/><Relationship Id="rId458" Type="http://schemas.openxmlformats.org/officeDocument/2006/relationships/hyperlink" Target="https://youtu.be/oXyHQaS6tyA" TargetMode="External"/><Relationship Id="rId215" Type="http://schemas.openxmlformats.org/officeDocument/2006/relationships/hyperlink" Target="https://www.youtube.com/watch?v=dR_tVc-mgo4&amp;ab_channel=Redelekys" TargetMode="External"/><Relationship Id="rId336" Type="http://schemas.openxmlformats.org/officeDocument/2006/relationships/hyperlink" Target="https://www.youtube.com/watch?v=jJiBmPEFMSY" TargetMode="External"/><Relationship Id="rId457" Type="http://schemas.openxmlformats.org/officeDocument/2006/relationships/hyperlink" Target="https://www.youtube.com/watch?v=fD09__FctMc" TargetMode="External"/><Relationship Id="rId214" Type="http://schemas.openxmlformats.org/officeDocument/2006/relationships/hyperlink" Target="https://www.youtube.com/watch?v=iC0ow8xh4A4&amp;list=PLaVAu9oqIRsHZeXtddD8l0AF5UiiKb9Uh&amp;index=2&amp;ab_channel=Skyllz" TargetMode="External"/><Relationship Id="rId335" Type="http://schemas.openxmlformats.org/officeDocument/2006/relationships/hyperlink" Target="https://www.youtube.com/watch?v=AOrdMs8dqCY" TargetMode="External"/><Relationship Id="rId456" Type="http://schemas.openxmlformats.org/officeDocument/2006/relationships/hyperlink" Target="https://youtu.be/fAx4O7Lp1Mo" TargetMode="External"/><Relationship Id="rId219" Type="http://schemas.openxmlformats.org/officeDocument/2006/relationships/hyperlink" Target="https://youtu.be/8y9JMBwKCnc" TargetMode="External"/><Relationship Id="rId218" Type="http://schemas.openxmlformats.org/officeDocument/2006/relationships/hyperlink" Target="https://www.youtube.com/watch?v=3ngtONl7TJ8" TargetMode="External"/><Relationship Id="rId339" Type="http://schemas.openxmlformats.org/officeDocument/2006/relationships/hyperlink" Target="https://www.youtube.com/watch?v=yVubyeigNds" TargetMode="External"/><Relationship Id="rId330" Type="http://schemas.openxmlformats.org/officeDocument/2006/relationships/hyperlink" Target="https://youtu.be/y13dVWFMjeQ" TargetMode="External"/><Relationship Id="rId451" Type="http://schemas.openxmlformats.org/officeDocument/2006/relationships/hyperlink" Target="https://www.youtube.com/watch?v=oA-D_SCKD1E&amp;ab_channel=DoYouself" TargetMode="External"/><Relationship Id="rId450" Type="http://schemas.openxmlformats.org/officeDocument/2006/relationships/hyperlink" Target="https://www.youtube.com/watch?v=TVgEOS4UdDc&amp;ab_channel=zwesok" TargetMode="External"/><Relationship Id="rId213" Type="http://schemas.openxmlformats.org/officeDocument/2006/relationships/hyperlink" Target="https://www.youtube.com/watch?v=BU1ncLTP_6o&amp;feature=youtu.be" TargetMode="External"/><Relationship Id="rId334" Type="http://schemas.openxmlformats.org/officeDocument/2006/relationships/hyperlink" Target="https://youtu.be/pfLAYbrb2Ds" TargetMode="External"/><Relationship Id="rId455" Type="http://schemas.openxmlformats.org/officeDocument/2006/relationships/hyperlink" Target="https://www.youtube.com/watch?v=5gGxqUu6xBw" TargetMode="External"/><Relationship Id="rId212" Type="http://schemas.openxmlformats.org/officeDocument/2006/relationships/hyperlink" Target="https://youtu.be/H58lNhZkYOI" TargetMode="External"/><Relationship Id="rId333" Type="http://schemas.openxmlformats.org/officeDocument/2006/relationships/hyperlink" Target="https://www.youtube.com/watch?v=_ED-xxR-1qA&amp;ab_channel=Redelekys" TargetMode="External"/><Relationship Id="rId454" Type="http://schemas.openxmlformats.org/officeDocument/2006/relationships/hyperlink" Target="https://youtu.be/UYscvre-YZs" TargetMode="External"/><Relationship Id="rId211" Type="http://schemas.openxmlformats.org/officeDocument/2006/relationships/hyperlink" Target="https://www.youtube.com/watch?v=QIAnxQVi6fI" TargetMode="External"/><Relationship Id="rId332" Type="http://schemas.openxmlformats.org/officeDocument/2006/relationships/hyperlink" Target="https://www.youtube.com/watch?v=7PUOixvm_ak&amp;ab_channel=%CF%80zza" TargetMode="External"/><Relationship Id="rId453" Type="http://schemas.openxmlformats.org/officeDocument/2006/relationships/hyperlink" Target="https://youtu.be/wQ2UxVzZIEg" TargetMode="External"/><Relationship Id="rId210" Type="http://schemas.openxmlformats.org/officeDocument/2006/relationships/hyperlink" Target="https://www.youtube.com/watch?v=xb5ptB62TyA" TargetMode="External"/><Relationship Id="rId331" Type="http://schemas.openxmlformats.org/officeDocument/2006/relationships/hyperlink" Target="https://www.youtube.com/watch?v=HjM26Ugpl9s&amp;ab_channel=AndresBeltran" TargetMode="External"/><Relationship Id="rId452" Type="http://schemas.openxmlformats.org/officeDocument/2006/relationships/hyperlink" Target="https://youtu.be/pq48kWUTigI" TargetMode="External"/><Relationship Id="rId370" Type="http://schemas.openxmlformats.org/officeDocument/2006/relationships/hyperlink" Target="https://www.youtube.com/watch?v=E3ohv0euemM" TargetMode="External"/><Relationship Id="rId491" Type="http://schemas.openxmlformats.org/officeDocument/2006/relationships/hyperlink" Target="https://youtu.be/Z3iqZkXWA_w" TargetMode="External"/><Relationship Id="rId490" Type="http://schemas.openxmlformats.org/officeDocument/2006/relationships/hyperlink" Target="https://www.youtube.com/watch?v=vlt9SUKg5-8" TargetMode="External"/><Relationship Id="rId129" Type="http://schemas.openxmlformats.org/officeDocument/2006/relationships/hyperlink" Target="https://medal.tv/es/games/geometry-dash/clips/26nTuB12hPfX72/8PYLXNFaByJ2?invite=cr-MSxzamosNTI2NzAxMDMs?mobilebypass=true" TargetMode="External"/><Relationship Id="rId128" Type="http://schemas.openxmlformats.org/officeDocument/2006/relationships/hyperlink" Target="https://www.youtube.com/watch?v=ZLLEkNi-rpM" TargetMode="External"/><Relationship Id="rId249" Type="http://schemas.openxmlformats.org/officeDocument/2006/relationships/hyperlink" Target="https://www.youtube.com/watch?v=lEbB8qtTcgc" TargetMode="External"/><Relationship Id="rId127" Type="http://schemas.openxmlformats.org/officeDocument/2006/relationships/hyperlink" Target="https://www.youtube.com/watch?v=MdGNs6ze7D8" TargetMode="External"/><Relationship Id="rId248" Type="http://schemas.openxmlformats.org/officeDocument/2006/relationships/hyperlink" Target="https://www.youtube.com/watch?v=fJ6xzR-d9Pc" TargetMode="External"/><Relationship Id="rId369" Type="http://schemas.openxmlformats.org/officeDocument/2006/relationships/hyperlink" Target="http://www.youtube.com/watch?v=VoIoU8UzghY&amp;feature=youtu.be" TargetMode="External"/><Relationship Id="rId126" Type="http://schemas.openxmlformats.org/officeDocument/2006/relationships/hyperlink" Target="https://youtu.be/_uJqsUadWW8" TargetMode="External"/><Relationship Id="rId247" Type="http://schemas.openxmlformats.org/officeDocument/2006/relationships/hyperlink" Target="https://youtu.be/XL6aIhp3-W0?si=__hwanUws69oNSoR" TargetMode="External"/><Relationship Id="rId368" Type="http://schemas.openxmlformats.org/officeDocument/2006/relationships/hyperlink" Target="https://youtu.be/mil_fB9Qso0" TargetMode="External"/><Relationship Id="rId489" Type="http://schemas.openxmlformats.org/officeDocument/2006/relationships/hyperlink" Target="https://medal.tv/es/games/geometry-dash/clips/jrX5i3g40BdWpYajY/TqRChxNTYg94?invite=cr-MSxXdnksMTc3OTcwOTg0LA" TargetMode="External"/><Relationship Id="rId121" Type="http://schemas.openxmlformats.org/officeDocument/2006/relationships/hyperlink" Target="https://www.youtube.com/watch?v=RmekHLiRo7Y" TargetMode="External"/><Relationship Id="rId242" Type="http://schemas.openxmlformats.org/officeDocument/2006/relationships/hyperlink" Target="https://www.youtube.com/watch?v=Q3trIxovt8s&amp;ab_channel=Redelekys" TargetMode="External"/><Relationship Id="rId363" Type="http://schemas.openxmlformats.org/officeDocument/2006/relationships/hyperlink" Target="https://www.youtube.com/watch?v=f6sNSbiLyMU&amp;pp=ygUJcmVkZWxla3lz" TargetMode="External"/><Relationship Id="rId484" Type="http://schemas.openxmlformats.org/officeDocument/2006/relationships/hyperlink" Target="https://www.youtube.com/watch?v=xybd6cyKuVM&amp;t=2s&amp;pp=ygULeHliZDZjeUt1Vk0%3D" TargetMode="External"/><Relationship Id="rId120" Type="http://schemas.openxmlformats.org/officeDocument/2006/relationships/hyperlink" Target="https://youtu.be/MaFc_lcGMtQ?si=LfisGmQQbuHgibpe" TargetMode="External"/><Relationship Id="rId241" Type="http://schemas.openxmlformats.org/officeDocument/2006/relationships/hyperlink" Target="https://www.youtube.com/watch?v=coWkpwZ3Fuk" TargetMode="External"/><Relationship Id="rId362" Type="http://schemas.openxmlformats.org/officeDocument/2006/relationships/hyperlink" Target="https://youtu.be/k6fXefsn4EU" TargetMode="External"/><Relationship Id="rId483" Type="http://schemas.openxmlformats.org/officeDocument/2006/relationships/hyperlink" Target="https://www.youtube.com/watch?v=qJvei03Ckqo&amp;pp=ygULcUp2ZWkwM0NrcW8%3D" TargetMode="External"/><Relationship Id="rId240" Type="http://schemas.openxmlformats.org/officeDocument/2006/relationships/hyperlink" Target="https://www.youtube.com/watch?v=bL79eyjruWY" TargetMode="External"/><Relationship Id="rId361" Type="http://schemas.openxmlformats.org/officeDocument/2006/relationships/hyperlink" Target="https://youtu.be/sl6knI2IoOo" TargetMode="External"/><Relationship Id="rId482" Type="http://schemas.openxmlformats.org/officeDocument/2006/relationships/hyperlink" Target="https://www.youtube.com/watch?v=MfFl-PuN4B0&amp;ab_channel=Emilio10" TargetMode="External"/><Relationship Id="rId360" Type="http://schemas.openxmlformats.org/officeDocument/2006/relationships/hyperlink" Target="https://youtu.be/uWpxyhDcIaM" TargetMode="External"/><Relationship Id="rId481" Type="http://schemas.openxmlformats.org/officeDocument/2006/relationships/hyperlink" Target="https://www.youtube.com/watch?v=sWFY9PBVkAU&amp;ab_channel=ThaLion087" TargetMode="External"/><Relationship Id="rId125" Type="http://schemas.openxmlformats.org/officeDocument/2006/relationships/hyperlink" Target="https://www.youtube.com/watch?v=fyhAaWA3rm8&amp;pp=wgIGCgQQAhgB" TargetMode="External"/><Relationship Id="rId246" Type="http://schemas.openxmlformats.org/officeDocument/2006/relationships/hyperlink" Target="https://www.youtube.com/watch?v=U3SbkKHAyVs" TargetMode="External"/><Relationship Id="rId367" Type="http://schemas.openxmlformats.org/officeDocument/2006/relationships/hyperlink" Target="https://www.youtube.com/watch?v=9WzEGDxLfFE" TargetMode="External"/><Relationship Id="rId488" Type="http://schemas.openxmlformats.org/officeDocument/2006/relationships/hyperlink" Target="https://www.youtube.com/watch?v=0fiPEic1HEQ" TargetMode="External"/><Relationship Id="rId124" Type="http://schemas.openxmlformats.org/officeDocument/2006/relationships/hyperlink" Target="https://www.youtube.com/watch?v=N6-_DSW5PpI&amp;pp=ygURZ2QgYW5kcmVzIGJlbHRyYW4%3D" TargetMode="External"/><Relationship Id="rId245" Type="http://schemas.openxmlformats.org/officeDocument/2006/relationships/hyperlink" Target="https://www.youtube.com/watch?v=tidIuwBTCbw&amp;ab_channel=Runnie" TargetMode="External"/><Relationship Id="rId366" Type="http://schemas.openxmlformats.org/officeDocument/2006/relationships/hyperlink" Target="https://www.youtube.com/watch?v=MnZ47Akoe6c" TargetMode="External"/><Relationship Id="rId487" Type="http://schemas.openxmlformats.org/officeDocument/2006/relationships/hyperlink" Target="https://www.youtube.com/watch?v=uq5V6VHND9c" TargetMode="External"/><Relationship Id="rId123" Type="http://schemas.openxmlformats.org/officeDocument/2006/relationships/hyperlink" Target="https://www.youtube.com/watch?v=gQsiCXfinv4&amp;pp=ygUQam9hcXVlbWl4IHBob2Jvcw%3D%3D" TargetMode="External"/><Relationship Id="rId244" Type="http://schemas.openxmlformats.org/officeDocument/2006/relationships/hyperlink" Target="https://www.youtube.com/watch?v=tE2iku_MIEM&amp;ab_channel=Facu28" TargetMode="External"/><Relationship Id="rId365" Type="http://schemas.openxmlformats.org/officeDocument/2006/relationships/hyperlink" Target="https://www.youtube.com/watch?v=_WYDXn_ZhZQ" TargetMode="External"/><Relationship Id="rId486" Type="http://schemas.openxmlformats.org/officeDocument/2006/relationships/hyperlink" Target="https://www.youtube.com/watch?v=LmhAdX7ofZM" TargetMode="External"/><Relationship Id="rId122" Type="http://schemas.openxmlformats.org/officeDocument/2006/relationships/hyperlink" Target="https://www.youtube.com/watch?v=g3DM1O0HReo" TargetMode="External"/><Relationship Id="rId243" Type="http://schemas.openxmlformats.org/officeDocument/2006/relationships/hyperlink" Target="https://www.youtube.com/watch?v=mF5JHyBHFHU&amp;ab_channel=AndresBeltran" TargetMode="External"/><Relationship Id="rId364" Type="http://schemas.openxmlformats.org/officeDocument/2006/relationships/hyperlink" Target="https://www.youtube.com/watch?v=ezLXPykzdg4" TargetMode="External"/><Relationship Id="rId485" Type="http://schemas.openxmlformats.org/officeDocument/2006/relationships/hyperlink" Target="https://www.youtube.com/watch?v=vFsT5FBpaI4" TargetMode="External"/><Relationship Id="rId95" Type="http://schemas.openxmlformats.org/officeDocument/2006/relationships/hyperlink" Target="https://youtu.be/dyGTegwYIaA" TargetMode="External"/><Relationship Id="rId94" Type="http://schemas.openxmlformats.org/officeDocument/2006/relationships/hyperlink" Target="https://youtu.be/ndC2-2ql43o?si=Qqbo-Zr0oWBbzxrf" TargetMode="External"/><Relationship Id="rId97" Type="http://schemas.openxmlformats.org/officeDocument/2006/relationships/hyperlink" Target="https://www.youtube.com/watch?v=DqvaUwbpJfo&amp;pp=ygUYZ2Qgc2t5bGx6IGluZmVybmFsIGFieXNz" TargetMode="External"/><Relationship Id="rId96" Type="http://schemas.openxmlformats.org/officeDocument/2006/relationships/hyperlink" Target="https://youtu.be/KZGkycVOnrU" TargetMode="External"/><Relationship Id="rId99" Type="http://schemas.openxmlformats.org/officeDocument/2006/relationships/hyperlink" Target="https://www.youtube.com/watch?v=0GqjVPCGvmc" TargetMode="External"/><Relationship Id="rId480" Type="http://schemas.openxmlformats.org/officeDocument/2006/relationships/hyperlink" Target="https://www.youtube.com/watch?v=Hao6CjxPLaM&amp;pp=ygULSGFvNkNqeFBMYU0%3D" TargetMode="External"/><Relationship Id="rId98" Type="http://schemas.openxmlformats.org/officeDocument/2006/relationships/hyperlink" Target="https://www.youtube.com/watch?v=-IfDfoqbzpI" TargetMode="External"/><Relationship Id="rId91" Type="http://schemas.openxmlformats.org/officeDocument/2006/relationships/hyperlink" Target="https://www.youtube.com/watch?v=3S8UjOVmNag" TargetMode="External"/><Relationship Id="rId90" Type="http://schemas.openxmlformats.org/officeDocument/2006/relationships/hyperlink" Target="https://youtu.be/RJ28imc3pe0" TargetMode="External"/><Relationship Id="rId93" Type="http://schemas.openxmlformats.org/officeDocument/2006/relationships/hyperlink" Target="https://www.youtube.com/watch?v=iqF95K0r5zI" TargetMode="External"/><Relationship Id="rId92" Type="http://schemas.openxmlformats.org/officeDocument/2006/relationships/hyperlink" Target="https://youtu.be/vOzFNtVo4xc" TargetMode="External"/><Relationship Id="rId118" Type="http://schemas.openxmlformats.org/officeDocument/2006/relationships/hyperlink" Target="https://www.youtube.com/watch?v=90Mda5OlhRA" TargetMode="External"/><Relationship Id="rId239" Type="http://schemas.openxmlformats.org/officeDocument/2006/relationships/hyperlink" Target="https://www.youtube.com/watch?v=SK7C_3ZVli4" TargetMode="External"/><Relationship Id="rId117" Type="http://schemas.openxmlformats.org/officeDocument/2006/relationships/hyperlink" Target="https://www.youtube.com/watch?v=22epcyKIwmo" TargetMode="External"/><Relationship Id="rId238" Type="http://schemas.openxmlformats.org/officeDocument/2006/relationships/hyperlink" Target="https://www.youtube.com/watch?v=N6WNZyqIs2o" TargetMode="External"/><Relationship Id="rId359" Type="http://schemas.openxmlformats.org/officeDocument/2006/relationships/hyperlink" Target="https://www.youtube.com/watch?v=U_gvz7EX4PI" TargetMode="External"/><Relationship Id="rId116" Type="http://schemas.openxmlformats.org/officeDocument/2006/relationships/hyperlink" Target="https://www.twitch.tv/videos/2484506153?filter=all&amp;sort=time" TargetMode="External"/><Relationship Id="rId237" Type="http://schemas.openxmlformats.org/officeDocument/2006/relationships/hyperlink" Target="https://youtu.be/8BSfRzNcqEE" TargetMode="External"/><Relationship Id="rId358" Type="http://schemas.openxmlformats.org/officeDocument/2006/relationships/hyperlink" Target="https://www.youtube.com/watch?v=z6DwK0fHcxc&amp;t" TargetMode="External"/><Relationship Id="rId479" Type="http://schemas.openxmlformats.org/officeDocument/2006/relationships/hyperlink" Target="https://youtu.be/oW-waB2cSfw" TargetMode="External"/><Relationship Id="rId115" Type="http://schemas.openxmlformats.org/officeDocument/2006/relationships/hyperlink" Target="https://youtu.be/uWLHoduSYAo" TargetMode="External"/><Relationship Id="rId236" Type="http://schemas.openxmlformats.org/officeDocument/2006/relationships/hyperlink" Target="https://www.youtube.com/watch?v=gY-XzRJHJTY" TargetMode="External"/><Relationship Id="rId357" Type="http://schemas.openxmlformats.org/officeDocument/2006/relationships/hyperlink" Target="https://www.youtube.com/watch?v=vyKqEjRY_Tc&amp;pp=ygUaam9hcXVlbWl4IHZpcnR1YWwgY29sbGFwc2U%3D" TargetMode="External"/><Relationship Id="rId478" Type="http://schemas.openxmlformats.org/officeDocument/2006/relationships/hyperlink" Target="https://www.youtube.com/watch?v=0MaxnZSBeDQ&amp;pp=ygULME1heG5aU0JlRFE%3D" TargetMode="External"/><Relationship Id="rId119" Type="http://schemas.openxmlformats.org/officeDocument/2006/relationships/hyperlink" Target="https://youtu.be/IoADgpzkGoI?si=KRz3pGFKR0TjCdyM" TargetMode="External"/><Relationship Id="rId110" Type="http://schemas.openxmlformats.org/officeDocument/2006/relationships/hyperlink" Target="https://www.youtube.com/watch?v=hk97FBiLswM&amp;ab_channel=AndresBeltran" TargetMode="External"/><Relationship Id="rId231" Type="http://schemas.openxmlformats.org/officeDocument/2006/relationships/hyperlink" Target="https://www.youtube.com/watch?v=I8GCMPVYfdY" TargetMode="External"/><Relationship Id="rId352" Type="http://schemas.openxmlformats.org/officeDocument/2006/relationships/hyperlink" Target="https://youtu.be/E5Vg_ETDwcE" TargetMode="External"/><Relationship Id="rId473" Type="http://schemas.openxmlformats.org/officeDocument/2006/relationships/hyperlink" Target="https://youtu.be/Wk0XAujuiyA?list=PLWOoVYfOzoyX2FVTYd3xe2vCPqw9zZcp-" TargetMode="External"/><Relationship Id="rId230" Type="http://schemas.openxmlformats.org/officeDocument/2006/relationships/hyperlink" Target="https://youtu.be/dTWVCKza-z0" TargetMode="External"/><Relationship Id="rId351" Type="http://schemas.openxmlformats.org/officeDocument/2006/relationships/hyperlink" Target="https://www.youtube.com/watch?v=2R7h79VbSuM" TargetMode="External"/><Relationship Id="rId472" Type="http://schemas.openxmlformats.org/officeDocument/2006/relationships/hyperlink" Target="https://www.youtube.com/watch?v=JaxqPZRiAeA" TargetMode="External"/><Relationship Id="rId350" Type="http://schemas.openxmlformats.org/officeDocument/2006/relationships/hyperlink" Target="https://youtu.be/95uJiKDeytc" TargetMode="External"/><Relationship Id="rId471" Type="http://schemas.openxmlformats.org/officeDocument/2006/relationships/hyperlink" Target="https://youtu.be/zbOILOUylvE" TargetMode="External"/><Relationship Id="rId470" Type="http://schemas.openxmlformats.org/officeDocument/2006/relationships/hyperlink" Target="https://www.youtube.com/watch?v=qlM0CaHSw7I" TargetMode="External"/><Relationship Id="rId114" Type="http://schemas.openxmlformats.org/officeDocument/2006/relationships/hyperlink" Target="https://www.youtube.com/watch?v=XN2K-TmFqrk" TargetMode="External"/><Relationship Id="rId235" Type="http://schemas.openxmlformats.org/officeDocument/2006/relationships/hyperlink" Target="https://youtu.be/MHAvS5JgX_o" TargetMode="External"/><Relationship Id="rId356" Type="http://schemas.openxmlformats.org/officeDocument/2006/relationships/hyperlink" Target="https://youtu.be/jgm8N5K_hd0?si=Ya8SkwYzrIv5dA03" TargetMode="External"/><Relationship Id="rId477" Type="http://schemas.openxmlformats.org/officeDocument/2006/relationships/hyperlink" Target="https://youtu.be/CnABl58-oFM" TargetMode="External"/><Relationship Id="rId113" Type="http://schemas.openxmlformats.org/officeDocument/2006/relationships/hyperlink" Target="https://www.youtube.com/watch?v=4jBt49WSg_I" TargetMode="External"/><Relationship Id="rId234" Type="http://schemas.openxmlformats.org/officeDocument/2006/relationships/hyperlink" Target="https://youtu.be/KLEFzpVysSc" TargetMode="External"/><Relationship Id="rId355" Type="http://schemas.openxmlformats.org/officeDocument/2006/relationships/hyperlink" Target="https://www.youtube.com/watch?v=ykDYXCKrfJ4&amp;pp=ygUUam9hcXVlbWl4IGp1c3QgZGFuY2U%3D" TargetMode="External"/><Relationship Id="rId476" Type="http://schemas.openxmlformats.org/officeDocument/2006/relationships/hyperlink" Target="https://www.youtube.com/watch?v=3J6tHYLFfCc&amp;t=1s&amp;pp=ygULM0o2dEhZTEZmQ2M%3D" TargetMode="External"/><Relationship Id="rId112" Type="http://schemas.openxmlformats.org/officeDocument/2006/relationships/hyperlink" Target="https://www.youtube.com/watch?v=XlgcmEkuibI" TargetMode="External"/><Relationship Id="rId233" Type="http://schemas.openxmlformats.org/officeDocument/2006/relationships/hyperlink" Target="https://www.youtube.com/watch?v=mxCRJWEmGa0" TargetMode="External"/><Relationship Id="rId354" Type="http://schemas.openxmlformats.org/officeDocument/2006/relationships/hyperlink" Target="https://www.youtube.com/watch?v=Gqann9nn2Bc" TargetMode="External"/><Relationship Id="rId475" Type="http://schemas.openxmlformats.org/officeDocument/2006/relationships/hyperlink" Target="https://www.youtube.com/watch?v=LfDIzR1Orxc&amp;pp=ygULTGZESXpSMU9yeGM%3D" TargetMode="External"/><Relationship Id="rId111" Type="http://schemas.openxmlformats.org/officeDocument/2006/relationships/hyperlink" Target="https://www.youtube.com/watch?v=mxfi1H16Fbg" TargetMode="External"/><Relationship Id="rId232" Type="http://schemas.openxmlformats.org/officeDocument/2006/relationships/hyperlink" Target="https://www.youtube.com/watch?v=kUefBHyEK_s" TargetMode="External"/><Relationship Id="rId353" Type="http://schemas.openxmlformats.org/officeDocument/2006/relationships/hyperlink" Target="https://youtu.be/Fy9bbkAzGCM" TargetMode="External"/><Relationship Id="rId474" Type="http://schemas.openxmlformats.org/officeDocument/2006/relationships/hyperlink" Target="https://www.youtube.com/watch?v=z8yGnP4ilbY&amp;pp=ygULejh5R25QNGlsYlk%3D" TargetMode="External"/><Relationship Id="rId305" Type="http://schemas.openxmlformats.org/officeDocument/2006/relationships/hyperlink" Target="https://www.youtube.com/watch?v=ryii1dQ9p5k" TargetMode="External"/><Relationship Id="rId426" Type="http://schemas.openxmlformats.org/officeDocument/2006/relationships/hyperlink" Target="https://streamable.com/s53sx3" TargetMode="External"/><Relationship Id="rId304" Type="http://schemas.openxmlformats.org/officeDocument/2006/relationships/hyperlink" Target="https://youtu.be/1bkuotBTTBs?si=_0LCWK1dH1nJNbCZ" TargetMode="External"/><Relationship Id="rId425" Type="http://schemas.openxmlformats.org/officeDocument/2006/relationships/hyperlink" Target="https://youtu.be/T9mbYRWx3iY" TargetMode="External"/><Relationship Id="rId303" Type="http://schemas.openxmlformats.org/officeDocument/2006/relationships/hyperlink" Target="https://youtu.be/L32qfdlxLHY" TargetMode="External"/><Relationship Id="rId424" Type="http://schemas.openxmlformats.org/officeDocument/2006/relationships/hyperlink" Target="https://youtu.be/8upgEyjot_Y" TargetMode="External"/><Relationship Id="rId302" Type="http://schemas.openxmlformats.org/officeDocument/2006/relationships/hyperlink" Target="https://www.youtube.com/watch?v=3_UOwZ5Jntw" TargetMode="External"/><Relationship Id="rId423" Type="http://schemas.openxmlformats.org/officeDocument/2006/relationships/hyperlink" Target="https://www.youtube.com/watch?v=8Il19-7bfPc" TargetMode="External"/><Relationship Id="rId309" Type="http://schemas.openxmlformats.org/officeDocument/2006/relationships/hyperlink" Target="https://www.youtube.com/watch?v=I4TjEtz9UZQ" TargetMode="External"/><Relationship Id="rId308" Type="http://schemas.openxmlformats.org/officeDocument/2006/relationships/hyperlink" Target="https://youtu.be/6-FywBC-wkw" TargetMode="External"/><Relationship Id="rId429" Type="http://schemas.openxmlformats.org/officeDocument/2006/relationships/hyperlink" Target="https://www.youtube.com/watch?v=dMq0mN1oJus&amp;lc=UgxocC1Ho3_5W042dpZ4AaABAg" TargetMode="External"/><Relationship Id="rId307" Type="http://schemas.openxmlformats.org/officeDocument/2006/relationships/hyperlink" Target="https://www.youtube.com/watch?v=JYXGPpXKmMU" TargetMode="External"/><Relationship Id="rId428" Type="http://schemas.openxmlformats.org/officeDocument/2006/relationships/hyperlink" Target="https://www.youtube.com/watch?v=-XcZ9Lj2xxc" TargetMode="External"/><Relationship Id="rId306" Type="http://schemas.openxmlformats.org/officeDocument/2006/relationships/hyperlink" Target="https://www.youtube.com/watch?v=VldWp8jNYtw" TargetMode="External"/><Relationship Id="rId427" Type="http://schemas.openxmlformats.org/officeDocument/2006/relationships/hyperlink" Target="https://www.youtube.com/watch?v=c2yp4tPOZlk" TargetMode="External"/><Relationship Id="rId301" Type="http://schemas.openxmlformats.org/officeDocument/2006/relationships/hyperlink" Target="https://www.youtube.com/watch?v=VN-2iTwPPtM" TargetMode="External"/><Relationship Id="rId422" Type="http://schemas.openxmlformats.org/officeDocument/2006/relationships/hyperlink" Target="https://youtu.be/NarOijgZ9tg" TargetMode="External"/><Relationship Id="rId300" Type="http://schemas.openxmlformats.org/officeDocument/2006/relationships/hyperlink" Target="https://www.youtube.com/watch?v=WZbTAnAundc" TargetMode="External"/><Relationship Id="rId421" Type="http://schemas.openxmlformats.org/officeDocument/2006/relationships/hyperlink" Target="https://www.youtube.com/watch?v=jGj3oAn3d6o" TargetMode="External"/><Relationship Id="rId420" Type="http://schemas.openxmlformats.org/officeDocument/2006/relationships/hyperlink" Target="https://youtu.be/ZvNgFv0kWWc" TargetMode="External"/><Relationship Id="rId415" Type="http://schemas.openxmlformats.org/officeDocument/2006/relationships/hyperlink" Target="https://www.youtube.com/watch?v=-5nUFd9qXeQ" TargetMode="External"/><Relationship Id="rId414" Type="http://schemas.openxmlformats.org/officeDocument/2006/relationships/hyperlink" Target="https://medal.tv/games/geometry-dash/clips/lku7Ev3BzjfD1a2pp?invite=cr-MSxJNngsMjQ0ODkzNzE5LA" TargetMode="External"/><Relationship Id="rId413" Type="http://schemas.openxmlformats.org/officeDocument/2006/relationships/hyperlink" Target="https://www.youtube.com/watch?v=epeiPFsWxL4" TargetMode="External"/><Relationship Id="rId412" Type="http://schemas.openxmlformats.org/officeDocument/2006/relationships/hyperlink" Target="https://www.youtube.com/watch?v=FfZbL1oNiNk" TargetMode="External"/><Relationship Id="rId419" Type="http://schemas.openxmlformats.org/officeDocument/2006/relationships/hyperlink" Target="https://youtu.be/ca3y-E2OD5o" TargetMode="External"/><Relationship Id="rId418" Type="http://schemas.openxmlformats.org/officeDocument/2006/relationships/hyperlink" Target="https://www.youtube.com/watch?v=FkVCcoP5XcI" TargetMode="External"/><Relationship Id="rId417" Type="http://schemas.openxmlformats.org/officeDocument/2006/relationships/hyperlink" Target="https://youtu.be/aFUcFByRTY0" TargetMode="External"/><Relationship Id="rId416" Type="http://schemas.openxmlformats.org/officeDocument/2006/relationships/hyperlink" Target="https://www.youtube.com/watch?v=E0k7cgwG5aE" TargetMode="External"/><Relationship Id="rId411" Type="http://schemas.openxmlformats.org/officeDocument/2006/relationships/hyperlink" Target="https://www.youtube.com/watch?v=Ir7uL4cXaYU" TargetMode="External"/><Relationship Id="rId410" Type="http://schemas.openxmlformats.org/officeDocument/2006/relationships/hyperlink" Target="https://www.youtube.com/watch?v=39m-fGmHU64" TargetMode="External"/><Relationship Id="rId206" Type="http://schemas.openxmlformats.org/officeDocument/2006/relationships/hyperlink" Target="https://youtu.be/2Ej7wKRZUdI" TargetMode="External"/><Relationship Id="rId327" Type="http://schemas.openxmlformats.org/officeDocument/2006/relationships/hyperlink" Target="https://youtu.be/u_MEEaVQEFM?si=9TTqcgv4mzWaiap5" TargetMode="External"/><Relationship Id="rId448" Type="http://schemas.openxmlformats.org/officeDocument/2006/relationships/hyperlink" Target="https://www.youtube.com/watch?v=8SbW8rkxyBs" TargetMode="External"/><Relationship Id="rId205" Type="http://schemas.openxmlformats.org/officeDocument/2006/relationships/hyperlink" Target="https://www.youtube.com/watch?v=qL5ffVzswtU" TargetMode="External"/><Relationship Id="rId326" Type="http://schemas.openxmlformats.org/officeDocument/2006/relationships/hyperlink" Target="https://www.youtube.com/watch?v=Xz2DJ19gm9U" TargetMode="External"/><Relationship Id="rId447" Type="http://schemas.openxmlformats.org/officeDocument/2006/relationships/hyperlink" Target="https://youtu.be/Yw0MnqXb1JQ" TargetMode="External"/><Relationship Id="rId204" Type="http://schemas.openxmlformats.org/officeDocument/2006/relationships/hyperlink" Target="https://www.youtube.com/watch?v=m_prfGBW2Ts&amp;t=22s&amp;pp=0gcJCccJAYcqIYzv" TargetMode="External"/><Relationship Id="rId325" Type="http://schemas.openxmlformats.org/officeDocument/2006/relationships/hyperlink" Target="https://youtu.be/tFxrjh6pUU0" TargetMode="External"/><Relationship Id="rId446" Type="http://schemas.openxmlformats.org/officeDocument/2006/relationships/hyperlink" Target="https://www.youtube.com/watch?v=K2tOJ8MLCkw" TargetMode="External"/><Relationship Id="rId203" Type="http://schemas.openxmlformats.org/officeDocument/2006/relationships/hyperlink" Target="https://www.youtube.com/watch?v=ChaMa0UxEls" TargetMode="External"/><Relationship Id="rId324" Type="http://schemas.openxmlformats.org/officeDocument/2006/relationships/hyperlink" Target="https://www.youtube.com/watch?v=ntnZJn_u-N4" TargetMode="External"/><Relationship Id="rId445" Type="http://schemas.openxmlformats.org/officeDocument/2006/relationships/hyperlink" Target="https://youtu.be/FPQv77s-0xM" TargetMode="External"/><Relationship Id="rId209" Type="http://schemas.openxmlformats.org/officeDocument/2006/relationships/hyperlink" Target="https://youtu.be/6dkz9ong3Qk?si=crRxfk4lBovkhl8q" TargetMode="External"/><Relationship Id="rId208" Type="http://schemas.openxmlformats.org/officeDocument/2006/relationships/hyperlink" Target="https://youtu.be/eqNYKBkeRCA?si=sb8GCWXvzdyts745" TargetMode="External"/><Relationship Id="rId329" Type="http://schemas.openxmlformats.org/officeDocument/2006/relationships/hyperlink" Target="https://www.youtube.com/watch?v=aDv74R-vels&amp;t=28s" TargetMode="External"/><Relationship Id="rId207" Type="http://schemas.openxmlformats.org/officeDocument/2006/relationships/hyperlink" Target="https://www.youtube.com/watch?v=bN73YL88kmc" TargetMode="External"/><Relationship Id="rId328" Type="http://schemas.openxmlformats.org/officeDocument/2006/relationships/hyperlink" Target="https://www.youtube.com/watch?v=vjpl3FeLyYY" TargetMode="External"/><Relationship Id="rId449" Type="http://schemas.openxmlformats.org/officeDocument/2006/relationships/hyperlink" Target="https://www.youtube.com/watch?v=xEYF0tpFLhs&amp;ab_channel=Redelekys" TargetMode="External"/><Relationship Id="rId440" Type="http://schemas.openxmlformats.org/officeDocument/2006/relationships/hyperlink" Target="https://www.youtube.com/watch?v=sbObXyi9JyQ" TargetMode="External"/><Relationship Id="rId202" Type="http://schemas.openxmlformats.org/officeDocument/2006/relationships/hyperlink" Target="https://youtu.be/Weia8yuQE3A" TargetMode="External"/><Relationship Id="rId323" Type="http://schemas.openxmlformats.org/officeDocument/2006/relationships/hyperlink" Target="https://www.youtube.com/watch?v=Fpe83L1lcog&amp;ab_channel=DoYouself" TargetMode="External"/><Relationship Id="rId444" Type="http://schemas.openxmlformats.org/officeDocument/2006/relationships/hyperlink" Target="https://youtu.be/Vnk2VdpT4sE?si=z2uoEOFJtxlQ1ZHt" TargetMode="External"/><Relationship Id="rId201" Type="http://schemas.openxmlformats.org/officeDocument/2006/relationships/hyperlink" Target="https://www.youtube.com/watch?v=Jfl5Y-LRHHI" TargetMode="External"/><Relationship Id="rId322" Type="http://schemas.openxmlformats.org/officeDocument/2006/relationships/hyperlink" Target="https://youtu.be/mekiH1JqJKg" TargetMode="External"/><Relationship Id="rId443" Type="http://schemas.openxmlformats.org/officeDocument/2006/relationships/hyperlink" Target="https://youtu.be/DREvmnE9PIA?si=Q4ec8FMEIE0Rl70y" TargetMode="External"/><Relationship Id="rId200" Type="http://schemas.openxmlformats.org/officeDocument/2006/relationships/hyperlink" Target="https://www.youtube.com/watch?v=2sTI98fHhqs" TargetMode="External"/><Relationship Id="rId321" Type="http://schemas.openxmlformats.org/officeDocument/2006/relationships/hyperlink" Target="https://www.youtube.com/watch?v=v6zzbp-l8Xs" TargetMode="External"/><Relationship Id="rId442" Type="http://schemas.openxmlformats.org/officeDocument/2006/relationships/hyperlink" Target="https://youtu.be/VUyzv6EadG4" TargetMode="External"/><Relationship Id="rId320" Type="http://schemas.openxmlformats.org/officeDocument/2006/relationships/hyperlink" Target="https://www.youtube.com/watch?v=iMmOthiyrJM&amp;t=1s" TargetMode="External"/><Relationship Id="rId441" Type="http://schemas.openxmlformats.org/officeDocument/2006/relationships/hyperlink" Target="https://youtu.be/v4IzQcbzJhg?si=PbX5zP_rIrH7SbwP" TargetMode="External"/><Relationship Id="rId316" Type="http://schemas.openxmlformats.org/officeDocument/2006/relationships/hyperlink" Target="https://www.youtube.com/watch?v=txNY21NjQhM" TargetMode="External"/><Relationship Id="rId437" Type="http://schemas.openxmlformats.org/officeDocument/2006/relationships/hyperlink" Target="https://www.youtube.com/watch?v=S52lec3wPeE" TargetMode="External"/><Relationship Id="rId315" Type="http://schemas.openxmlformats.org/officeDocument/2006/relationships/hyperlink" Target="https://www.youtube.com/watch?v=g7jPGi-EThs" TargetMode="External"/><Relationship Id="rId436" Type="http://schemas.openxmlformats.org/officeDocument/2006/relationships/hyperlink" Target="https://www.youtube.com/watch?v=G43dg4Q6ogA" TargetMode="External"/><Relationship Id="rId314" Type="http://schemas.openxmlformats.org/officeDocument/2006/relationships/hyperlink" Target="https://youtu.be/wwtuNm5M6ys?si=z_eRZQ7_eK3ajYLc" TargetMode="External"/><Relationship Id="rId435" Type="http://schemas.openxmlformats.org/officeDocument/2006/relationships/hyperlink" Target="https://www.youtube.com/watch?v=XIpSLILF9Bw" TargetMode="External"/><Relationship Id="rId313" Type="http://schemas.openxmlformats.org/officeDocument/2006/relationships/hyperlink" Target="https://medal.tv/es/games/geometry-dash/clips/jrT75AjeZMoYrW4Sk?invite=cr-MSxjdWIsMTc3OTcwOTg0LA" TargetMode="External"/><Relationship Id="rId434" Type="http://schemas.openxmlformats.org/officeDocument/2006/relationships/hyperlink" Target="https://www.youtube.com/watch?v=UTnFQSWaqE4&amp;ab_channel=%CF%80zza" TargetMode="External"/><Relationship Id="rId319" Type="http://schemas.openxmlformats.org/officeDocument/2006/relationships/hyperlink" Target="https://www.youtube.com/watch?v=2QbDp2KeaFw" TargetMode="External"/><Relationship Id="rId318" Type="http://schemas.openxmlformats.org/officeDocument/2006/relationships/hyperlink" Target="https://www.youtube.com/watch?v=gPk6mirnFZg" TargetMode="External"/><Relationship Id="rId439" Type="http://schemas.openxmlformats.org/officeDocument/2006/relationships/hyperlink" Target="https://youtu.be/CncEnraT3rk?si=z7GbpEMQSUgiF90u" TargetMode="External"/><Relationship Id="rId317" Type="http://schemas.openxmlformats.org/officeDocument/2006/relationships/hyperlink" Target="https://www.youtube.com/watch?v=Q_8ODp25tJg" TargetMode="External"/><Relationship Id="rId438" Type="http://schemas.openxmlformats.org/officeDocument/2006/relationships/hyperlink" Target="https://www.youtube.com/watch?v=JbMESFAqTnQ" TargetMode="External"/><Relationship Id="rId312" Type="http://schemas.openxmlformats.org/officeDocument/2006/relationships/hyperlink" Target="https://www.youtube.com/watch?v=cy7WSxCbDV0" TargetMode="External"/><Relationship Id="rId433" Type="http://schemas.openxmlformats.org/officeDocument/2006/relationships/hyperlink" Target="https://youtu.be/QxRpJJo2ztg?si=tpaQn3lzC9zvZZZw" TargetMode="External"/><Relationship Id="rId311" Type="http://schemas.openxmlformats.org/officeDocument/2006/relationships/hyperlink" Target="https://www.youtube.com/watch?v=BjznEDgY098&amp;" TargetMode="External"/><Relationship Id="rId432" Type="http://schemas.openxmlformats.org/officeDocument/2006/relationships/hyperlink" Target="https://www.youtube.com/watch?v=lBfCDS8W3Y4" TargetMode="External"/><Relationship Id="rId310" Type="http://schemas.openxmlformats.org/officeDocument/2006/relationships/hyperlink" Target="https://www.youtube.com/watch?v=MZe9ejHxSzs&amp;t=4s&amp;pp=ygUJcmVkZWxla3lz" TargetMode="External"/><Relationship Id="rId431" Type="http://schemas.openxmlformats.org/officeDocument/2006/relationships/hyperlink" Target="https://www.youtube.com/watch?v=2jJhnVKLmnU&amp;ab_channel=PoleEast" TargetMode="External"/><Relationship Id="rId430" Type="http://schemas.openxmlformats.org/officeDocument/2006/relationships/hyperlink" Target="https://www.youtube.com/watch?v=Ipg8DZzAL5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youtube.com/@santiricca" TargetMode="External"/><Relationship Id="rId3" Type="http://schemas.openxmlformats.org/officeDocument/2006/relationships/hyperlink" Target="https://www.youtube.com/watch?v=LZd8oulTiEw" TargetMode="External"/><Relationship Id="rId4" Type="http://schemas.openxmlformats.org/officeDocument/2006/relationships/hyperlink" Target="https://www.youtube.com/@pissa314" TargetMode="External"/><Relationship Id="rId9" Type="http://schemas.openxmlformats.org/officeDocument/2006/relationships/hyperlink" Target="https://www.youtube.com/@Joaquemix" TargetMode="External"/><Relationship Id="rId5" Type="http://schemas.openxmlformats.org/officeDocument/2006/relationships/hyperlink" Target="https://www.youtube.com/watch?v=c0w0wnL0Txw" TargetMode="External"/><Relationship Id="rId6" Type="http://schemas.openxmlformats.org/officeDocument/2006/relationships/hyperlink" Target="https://www.youtube.com/@neuronextractor" TargetMode="External"/><Relationship Id="rId7" Type="http://schemas.openxmlformats.org/officeDocument/2006/relationships/hyperlink" Target="https://www.youtube.com/@Cxvelol" TargetMode="External"/><Relationship Id="rId8" Type="http://schemas.openxmlformats.org/officeDocument/2006/relationships/hyperlink" Target="https://www.youtube.com/watch?v=0ZxavmAd8cw" TargetMode="External"/><Relationship Id="rId20" Type="http://schemas.openxmlformats.org/officeDocument/2006/relationships/hyperlink" Target="https://www.youtube.com/watch?v=vvDqdI5xfmo&amp;ab_channel=Redelekys" TargetMode="External"/><Relationship Id="rId22" Type="http://schemas.openxmlformats.org/officeDocument/2006/relationships/hyperlink" Target="https://www.youtube.com/watch?v=keW6oKrdYeA" TargetMode="External"/><Relationship Id="rId21" Type="http://schemas.openxmlformats.org/officeDocument/2006/relationships/hyperlink" Target="https://www.youtube.com/@ardizzsupermeatboy" TargetMode="External"/><Relationship Id="rId24" Type="http://schemas.openxmlformats.org/officeDocument/2006/relationships/hyperlink" Target="https://www.youtube.com/watch?v=VVsciEKQckI&amp;feature=youtu.be" TargetMode="External"/><Relationship Id="rId23" Type="http://schemas.openxmlformats.org/officeDocument/2006/relationships/hyperlink" Target="https://www.youtube.com/@DoYouself" TargetMode="External"/><Relationship Id="rId26" Type="http://schemas.openxmlformats.org/officeDocument/2006/relationships/hyperlink" Target="https://www.youtube.com/watch?v=nfi_1m1aToc" TargetMode="External"/><Relationship Id="rId25" Type="http://schemas.openxmlformats.org/officeDocument/2006/relationships/hyperlink" Target="https://www.youtube.com/@Kaomu-ss4ks" TargetMode="External"/><Relationship Id="rId28" Type="http://schemas.openxmlformats.org/officeDocument/2006/relationships/vmlDrawing" Target="../drawings/vmlDrawing2.vml"/><Relationship Id="rId27" Type="http://schemas.openxmlformats.org/officeDocument/2006/relationships/drawing" Target="../drawings/drawing2.xml"/><Relationship Id="rId11" Type="http://schemas.openxmlformats.org/officeDocument/2006/relationships/hyperlink" Target="https://www.youtube.com/@_AndresBeltran_" TargetMode="External"/><Relationship Id="rId10" Type="http://schemas.openxmlformats.org/officeDocument/2006/relationships/hyperlink" Target="https://www.youtube.com/watch?v=X0CuBf3jbDU&amp;t=146s" TargetMode="External"/><Relationship Id="rId13" Type="http://schemas.openxmlformats.org/officeDocument/2006/relationships/hyperlink" Target="https://www.youtube.com/@chompi2007" TargetMode="External"/><Relationship Id="rId12" Type="http://schemas.openxmlformats.org/officeDocument/2006/relationships/hyperlink" Target="https://www.youtube.com/watch?v=VqjFFQwQk_Q&amp;t=250s" TargetMode="External"/><Relationship Id="rId15" Type="http://schemas.openxmlformats.org/officeDocument/2006/relationships/hyperlink" Target="https://www.youtube.com/@SalchiGames_" TargetMode="External"/><Relationship Id="rId14" Type="http://schemas.openxmlformats.org/officeDocument/2006/relationships/hyperlink" Target="https://youtu.be/8q6BxLxkpeQ" TargetMode="External"/><Relationship Id="rId17" Type="http://schemas.openxmlformats.org/officeDocument/2006/relationships/hyperlink" Target="https://www.youtube.com/@FranPes" TargetMode="External"/><Relationship Id="rId16" Type="http://schemas.openxmlformats.org/officeDocument/2006/relationships/hyperlink" Target="https://www.youtube.com/watch?v=_dvcWcvnPFI" TargetMode="External"/><Relationship Id="rId19" Type="http://schemas.openxmlformats.org/officeDocument/2006/relationships/hyperlink" Target="https://www.youtube.com/@redelekys" TargetMode="External"/><Relationship Id="rId18" Type="http://schemas.openxmlformats.org/officeDocument/2006/relationships/hyperlink" Target="https://www.youtube.com/watch?v=SlRDXXef8Q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Y6ntIEXpxvk" TargetMode="External"/><Relationship Id="rId194" Type="http://schemas.openxmlformats.org/officeDocument/2006/relationships/hyperlink" Target="https://www.youtube.com/watch?v=siC35CFJwWY" TargetMode="External"/><Relationship Id="rId193" Type="http://schemas.openxmlformats.org/officeDocument/2006/relationships/hyperlink" Target="https://www.youtube.com/watch?v=VK9EnESrFKg" TargetMode="External"/><Relationship Id="rId192" Type="http://schemas.openxmlformats.org/officeDocument/2006/relationships/hyperlink" Target="https://www.youtube.com/watch?v=SjDYYZV1nSc&amp;pp=wgIGCgQQAhgB" TargetMode="External"/><Relationship Id="rId191" Type="http://schemas.openxmlformats.org/officeDocument/2006/relationships/hyperlink" Target="https://www.youtube.com/watch?v=2sTI98fHhqs" TargetMode="External"/><Relationship Id="rId187" Type="http://schemas.openxmlformats.org/officeDocument/2006/relationships/hyperlink" Target="https://www.youtube.com/watch?v=GJrva6twWHg" TargetMode="External"/><Relationship Id="rId186" Type="http://schemas.openxmlformats.org/officeDocument/2006/relationships/hyperlink" Target="https://www.youtube.com/watch?v=gVcW79lDf7g" TargetMode="External"/><Relationship Id="rId185" Type="http://schemas.openxmlformats.org/officeDocument/2006/relationships/hyperlink" Target="https://www.youtube.com/watch?v=f2yHf3-BKVs" TargetMode="External"/><Relationship Id="rId184" Type="http://schemas.openxmlformats.org/officeDocument/2006/relationships/hyperlink" Target="https://youtu.be/nWAlWPro7Dk" TargetMode="External"/><Relationship Id="rId189" Type="http://schemas.openxmlformats.org/officeDocument/2006/relationships/hyperlink" Target="https://www.youtube.com/watch?v=-rO40vLLC2s" TargetMode="External"/><Relationship Id="rId188" Type="http://schemas.openxmlformats.org/officeDocument/2006/relationships/hyperlink" Target="https://www.youtube.com/watch?v=q9olbUCD3ME" TargetMode="External"/><Relationship Id="rId183" Type="http://schemas.openxmlformats.org/officeDocument/2006/relationships/hyperlink" Target="https://www.youtube.com/watch?v=deyv_LC5b3U" TargetMode="External"/><Relationship Id="rId182" Type="http://schemas.openxmlformats.org/officeDocument/2006/relationships/hyperlink" Target="https://www.youtube.com/watch?v=p8WdG7h74AE&amp;ab_channel=DoYouself" TargetMode="External"/><Relationship Id="rId181" Type="http://schemas.openxmlformats.org/officeDocument/2006/relationships/hyperlink" Target="https://www.youtube.com/watch?v=ZIigprtTbY4&amp;ab_channel=Redelekys" TargetMode="External"/><Relationship Id="rId180" Type="http://schemas.openxmlformats.org/officeDocument/2006/relationships/hyperlink" Target="https://www.youtube.com/watch?v=kp8BeSBoPmw&amp;ab_channel=Sickario" TargetMode="External"/><Relationship Id="rId176" Type="http://schemas.openxmlformats.org/officeDocument/2006/relationships/hyperlink" Target="https://www.youtube.com/watch?v=2-NBIFbPokQ" TargetMode="External"/><Relationship Id="rId297" Type="http://schemas.openxmlformats.org/officeDocument/2006/relationships/hyperlink" Target="https://www.youtube.com/watch?v=BjznEDgY098&amp;" TargetMode="External"/><Relationship Id="rId175" Type="http://schemas.openxmlformats.org/officeDocument/2006/relationships/hyperlink" Target="https://www.youtube.com/watch?v=lQZR2LhYp_U&amp;t=2s&amp;pp=ygUSZ2Qgam9hcXVlbWl4IGlkb2xz" TargetMode="External"/><Relationship Id="rId296" Type="http://schemas.openxmlformats.org/officeDocument/2006/relationships/hyperlink" Target="https://www.youtube.com/watch?v=MZe9ejHxSzs&amp;t=4s&amp;pp=ygUJcmVkZWxla3lz" TargetMode="External"/><Relationship Id="rId174" Type="http://schemas.openxmlformats.org/officeDocument/2006/relationships/hyperlink" Target="https://youtu.be/ycgfVXMnBAM" TargetMode="External"/><Relationship Id="rId295" Type="http://schemas.openxmlformats.org/officeDocument/2006/relationships/hyperlink" Target="https://www.youtube.com/watch?v=I4TjEtz9UZQ" TargetMode="External"/><Relationship Id="rId173" Type="http://schemas.openxmlformats.org/officeDocument/2006/relationships/hyperlink" Target="https://www.youtube.com/watch?v=vmwf7ZFAwxQ" TargetMode="External"/><Relationship Id="rId294" Type="http://schemas.openxmlformats.org/officeDocument/2006/relationships/hyperlink" Target="https://youtu.be/6-FywBC-wkw" TargetMode="External"/><Relationship Id="rId179" Type="http://schemas.openxmlformats.org/officeDocument/2006/relationships/hyperlink" Target="https://www.youtube.com/watch?v=S4itGV5V2zc" TargetMode="External"/><Relationship Id="rId178" Type="http://schemas.openxmlformats.org/officeDocument/2006/relationships/hyperlink" Target="https://www.youtube.com/watch?v=Ix4Ia87Rm-M" TargetMode="External"/><Relationship Id="rId299" Type="http://schemas.openxmlformats.org/officeDocument/2006/relationships/hyperlink" Target="https://www.youtube.com/watch?v=cy7WSxCbDV0" TargetMode="External"/><Relationship Id="rId177" Type="http://schemas.openxmlformats.org/officeDocument/2006/relationships/hyperlink" Target="https://youtu.be/CcP8L0Z3fjw" TargetMode="External"/><Relationship Id="rId298" Type="http://schemas.openxmlformats.org/officeDocument/2006/relationships/hyperlink" Target="https://www.youtube.com/watch?v=kM3AHfbsac0&amp;ab_channel=Sickario" TargetMode="External"/><Relationship Id="rId198" Type="http://schemas.openxmlformats.org/officeDocument/2006/relationships/hyperlink" Target="https://www.youtube.com/watch?v=m_prfGBW2Ts&amp;t=22s&amp;pp=0gcJCccJAYcqIYzv" TargetMode="External"/><Relationship Id="rId197" Type="http://schemas.openxmlformats.org/officeDocument/2006/relationships/hyperlink" Target="https://www.youtube.com/watch?v=ChaMa0UxEls" TargetMode="External"/><Relationship Id="rId196" Type="http://schemas.openxmlformats.org/officeDocument/2006/relationships/hyperlink" Target="https://www.youtube.com/watch?v=Jfl5Y-LRHHI" TargetMode="External"/><Relationship Id="rId195" Type="http://schemas.openxmlformats.org/officeDocument/2006/relationships/hyperlink" Target="https://www.youtube.com/watch?v=6CVV7Yb2J0I" TargetMode="External"/><Relationship Id="rId199" Type="http://schemas.openxmlformats.org/officeDocument/2006/relationships/hyperlink" Target="https://www.youtube.com/watch?v=qL5ffVzswtU" TargetMode="External"/><Relationship Id="rId150" Type="http://schemas.openxmlformats.org/officeDocument/2006/relationships/hyperlink" Target="https://www.youtube.com/watch?v=EcCgfZPQ9qE" TargetMode="External"/><Relationship Id="rId271" Type="http://schemas.openxmlformats.org/officeDocument/2006/relationships/hyperlink" Target="https://www.youtube.com/watch?v=Le8_hyD-T8o" TargetMode="External"/><Relationship Id="rId392" Type="http://schemas.openxmlformats.org/officeDocument/2006/relationships/hyperlink" Target="https://www.youtube.com/watch?v=Dm50ekGtpk8" TargetMode="External"/><Relationship Id="rId270" Type="http://schemas.openxmlformats.org/officeDocument/2006/relationships/hyperlink" Target="https://www.youtube.com/watch?v=_nbm9mgdEX4" TargetMode="External"/><Relationship Id="rId391" Type="http://schemas.openxmlformats.org/officeDocument/2006/relationships/hyperlink" Target="https://www.youtube.com/watch?v=kVkbx13wnus" TargetMode="External"/><Relationship Id="rId390" Type="http://schemas.openxmlformats.org/officeDocument/2006/relationships/hyperlink" Target="https://www.youtube.com/watch?v=FljVj7T79IM&amp;ab_channel=Fallingboii_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www.youtube.com/watch?v=IWQDfnVnlt0" TargetMode="External"/><Relationship Id="rId3" Type="http://schemas.openxmlformats.org/officeDocument/2006/relationships/hyperlink" Target="https://www.youtube.com/watch?v=LZd8oulTiEw" TargetMode="External"/><Relationship Id="rId149" Type="http://schemas.openxmlformats.org/officeDocument/2006/relationships/hyperlink" Target="https://www.youtube.com/watch?v=PvT_DyraIXM" TargetMode="External"/><Relationship Id="rId4" Type="http://schemas.openxmlformats.org/officeDocument/2006/relationships/hyperlink" Target="http://www.youtube.com/watch?v=0ZxavmAd8cw&amp;pp=2AYB" TargetMode="External"/><Relationship Id="rId148" Type="http://schemas.openxmlformats.org/officeDocument/2006/relationships/hyperlink" Target="https://www.youtube.com/watch?v=ZteSvquek6M&amp;t=1s&amp;ab_channel=Skyllz" TargetMode="External"/><Relationship Id="rId269" Type="http://schemas.openxmlformats.org/officeDocument/2006/relationships/hyperlink" Target="https://www.youtube.com/watch?v=WSVLVd0MXIg" TargetMode="External"/><Relationship Id="rId9" Type="http://schemas.openxmlformats.org/officeDocument/2006/relationships/hyperlink" Target="https://youtu.be/G35fOZRVX6Y" TargetMode="External"/><Relationship Id="rId143" Type="http://schemas.openxmlformats.org/officeDocument/2006/relationships/hyperlink" Target="https://www.youtube.com/watch?v=bXwHb4Umghc" TargetMode="External"/><Relationship Id="rId264" Type="http://schemas.openxmlformats.org/officeDocument/2006/relationships/hyperlink" Target="https://youtu.be/YPNkkYwcUDE" TargetMode="External"/><Relationship Id="rId385" Type="http://schemas.openxmlformats.org/officeDocument/2006/relationships/hyperlink" Target="https://youtu.be/mwiSRZhLwlg" TargetMode="External"/><Relationship Id="rId142" Type="http://schemas.openxmlformats.org/officeDocument/2006/relationships/hyperlink" Target="https://youtu.be/OnQkIBa4Zgo" TargetMode="External"/><Relationship Id="rId263" Type="http://schemas.openxmlformats.org/officeDocument/2006/relationships/hyperlink" Target="https://www.youtube.com/watch?v=Dz1glygn5uA" TargetMode="External"/><Relationship Id="rId384" Type="http://schemas.openxmlformats.org/officeDocument/2006/relationships/hyperlink" Target="https://youtu.be/lvkHG_5mSnA" TargetMode="External"/><Relationship Id="rId141" Type="http://schemas.openxmlformats.org/officeDocument/2006/relationships/hyperlink" Target="https://www.youtube.com/watch?v=Ybv7hCh69sM" TargetMode="External"/><Relationship Id="rId262" Type="http://schemas.openxmlformats.org/officeDocument/2006/relationships/hyperlink" Target="https://youtu.be/VVkjGSmV4Wo" TargetMode="External"/><Relationship Id="rId383" Type="http://schemas.openxmlformats.org/officeDocument/2006/relationships/hyperlink" Target="https://youtu.be/eahCRm-eBSc" TargetMode="External"/><Relationship Id="rId140" Type="http://schemas.openxmlformats.org/officeDocument/2006/relationships/hyperlink" Target="https://www.youtube.com/watch?v=xdkBgUtCweQ" TargetMode="External"/><Relationship Id="rId261" Type="http://schemas.openxmlformats.org/officeDocument/2006/relationships/hyperlink" Target="https://youtu.be/OWgfU_tFw4w" TargetMode="External"/><Relationship Id="rId382" Type="http://schemas.openxmlformats.org/officeDocument/2006/relationships/hyperlink" Target="https://youtu.be/QMcr2w6Gs0M" TargetMode="External"/><Relationship Id="rId5" Type="http://schemas.openxmlformats.org/officeDocument/2006/relationships/hyperlink" Target="https://www.youtube.com/watch?v=c0w0wnL0Txw" TargetMode="External"/><Relationship Id="rId147" Type="http://schemas.openxmlformats.org/officeDocument/2006/relationships/hyperlink" Target="https://www.youtube.com/watch?v=AAf4u6QAUR4&amp;t=8s&amp;pp=ygURZ2RuYWNobyBibG9vZGJhdGg%3D" TargetMode="External"/><Relationship Id="rId268" Type="http://schemas.openxmlformats.org/officeDocument/2006/relationships/hyperlink" Target="https://youtu.be/4NiYlcfTfRw?si=GJ2O3JGYvgPY-qpW" TargetMode="External"/><Relationship Id="rId389" Type="http://schemas.openxmlformats.org/officeDocument/2006/relationships/hyperlink" Target="https://www.youtube.com/watch?v=qwZE_bPJJJs" TargetMode="External"/><Relationship Id="rId6" Type="http://schemas.openxmlformats.org/officeDocument/2006/relationships/hyperlink" Target="https://youtu.be/JfiG0Lh87nM?si=HFFfpHp7NefFssky" TargetMode="External"/><Relationship Id="rId146" Type="http://schemas.openxmlformats.org/officeDocument/2006/relationships/hyperlink" Target="https://youtu.be/gKs4Po-NFgc?list=PLWOoVYfOzoyX2FVTYd3xe2vCPqw9zZcp-" TargetMode="External"/><Relationship Id="rId267" Type="http://schemas.openxmlformats.org/officeDocument/2006/relationships/hyperlink" Target="https://www.youtube.com/watch?v=MABQtIre6LQ" TargetMode="External"/><Relationship Id="rId388" Type="http://schemas.openxmlformats.org/officeDocument/2006/relationships/hyperlink" Target="https://youtu.be/jPrR8jOd90c?si=FBp39NlQLrgnEkRQ" TargetMode="External"/><Relationship Id="rId7" Type="http://schemas.openxmlformats.org/officeDocument/2006/relationships/hyperlink" Target="https://www.youtube.com/watch?v=s90N-T5VUKM" TargetMode="External"/><Relationship Id="rId145" Type="http://schemas.openxmlformats.org/officeDocument/2006/relationships/hyperlink" Target="https://www.youtube.com/watch?v=xVGlHfPHLFA" TargetMode="External"/><Relationship Id="rId266" Type="http://schemas.openxmlformats.org/officeDocument/2006/relationships/hyperlink" Target="https://www.youtube.com/watch?v=7BnFtlxD2yo" TargetMode="External"/><Relationship Id="rId387" Type="http://schemas.openxmlformats.org/officeDocument/2006/relationships/hyperlink" Target="https://youtu.be/x0u0WQ428sU" TargetMode="External"/><Relationship Id="rId8" Type="http://schemas.openxmlformats.org/officeDocument/2006/relationships/hyperlink" Target="https://www.youtube.com/watch?v=RJsZ06HSGCE" TargetMode="External"/><Relationship Id="rId144" Type="http://schemas.openxmlformats.org/officeDocument/2006/relationships/hyperlink" Target="https://youtu.be/1LyXNZmvzD8" TargetMode="External"/><Relationship Id="rId265" Type="http://schemas.openxmlformats.org/officeDocument/2006/relationships/hyperlink" Target="https://www.youtube.com/watch?v=QaAzSwmLl7k&amp;feature=youtu.be" TargetMode="External"/><Relationship Id="rId386" Type="http://schemas.openxmlformats.org/officeDocument/2006/relationships/hyperlink" Target="https://youtu.be/75tUt7TAEJA" TargetMode="External"/><Relationship Id="rId260" Type="http://schemas.openxmlformats.org/officeDocument/2006/relationships/hyperlink" Target="https://www.youtube.com/watch?v=u-wddcZdc-M" TargetMode="External"/><Relationship Id="rId381" Type="http://schemas.openxmlformats.org/officeDocument/2006/relationships/hyperlink" Target="https://www.youtube.com/watch?v=rJGmeDbCJ70&amp;t=1s" TargetMode="External"/><Relationship Id="rId380" Type="http://schemas.openxmlformats.org/officeDocument/2006/relationships/hyperlink" Target="https://youtu.be/rCo1bsp5a3I" TargetMode="External"/><Relationship Id="rId139" Type="http://schemas.openxmlformats.org/officeDocument/2006/relationships/hyperlink" Target="https://www.youtube.com/watch?v=8DtIBPyMudE" TargetMode="External"/><Relationship Id="rId138" Type="http://schemas.openxmlformats.org/officeDocument/2006/relationships/hyperlink" Target="https://www.youtube.com/watch?v=NK4h7goA71I" TargetMode="External"/><Relationship Id="rId259" Type="http://schemas.openxmlformats.org/officeDocument/2006/relationships/hyperlink" Target="https://www.youtube.com/watch?v=kNMIQWy0xaQ&amp;ab_channel=Emilio10" TargetMode="External"/><Relationship Id="rId137" Type="http://schemas.openxmlformats.org/officeDocument/2006/relationships/hyperlink" Target="https://youtu.be/C6rOOZqTDyc" TargetMode="External"/><Relationship Id="rId258" Type="http://schemas.openxmlformats.org/officeDocument/2006/relationships/hyperlink" Target="https://www.youtube.com/watch?v=CMFWWOnVKVs" TargetMode="External"/><Relationship Id="rId379" Type="http://schemas.openxmlformats.org/officeDocument/2006/relationships/hyperlink" Target="https://youtu.be/X8nlW5na_kg" TargetMode="External"/><Relationship Id="rId132" Type="http://schemas.openxmlformats.org/officeDocument/2006/relationships/hyperlink" Target="https://youtu.be/VVvy6Fjy3OI" TargetMode="External"/><Relationship Id="rId253" Type="http://schemas.openxmlformats.org/officeDocument/2006/relationships/hyperlink" Target="https://www.youtube.com/watch?v=SnBAva86A34" TargetMode="External"/><Relationship Id="rId374" Type="http://schemas.openxmlformats.org/officeDocument/2006/relationships/hyperlink" Target="https://youtu.be/Jto_PpNG18A" TargetMode="External"/><Relationship Id="rId495" Type="http://schemas.openxmlformats.org/officeDocument/2006/relationships/hyperlink" Target="https://www.youtube.com/watch?v=3r_36tueGeI" TargetMode="External"/><Relationship Id="rId131" Type="http://schemas.openxmlformats.org/officeDocument/2006/relationships/hyperlink" Target="https://www.youtube.com/watch?v=OkcOZQAijzc" TargetMode="External"/><Relationship Id="rId252" Type="http://schemas.openxmlformats.org/officeDocument/2006/relationships/hyperlink" Target="https://www.youtube.com/watch?v=temC2pkOB6Q" TargetMode="External"/><Relationship Id="rId373" Type="http://schemas.openxmlformats.org/officeDocument/2006/relationships/hyperlink" Target="https://www.youtube.com/watch?v=AIVZ5G7gnrU" TargetMode="External"/><Relationship Id="rId494" Type="http://schemas.openxmlformats.org/officeDocument/2006/relationships/hyperlink" Target="https://www.youtube.com/watch?v=Nhk73jAQ4DE&amp;ab_channel=AndresBeltran" TargetMode="External"/><Relationship Id="rId130" Type="http://schemas.openxmlformats.org/officeDocument/2006/relationships/hyperlink" Target="https://www.youtube.com/watch?v=eNHjJdsS86k&amp;ab_channel=Redelekys" TargetMode="External"/><Relationship Id="rId251" Type="http://schemas.openxmlformats.org/officeDocument/2006/relationships/hyperlink" Target="https://www.youtube.com/watch?v=2WOij1UrZJ0" TargetMode="External"/><Relationship Id="rId372" Type="http://schemas.openxmlformats.org/officeDocument/2006/relationships/hyperlink" Target="https://youtu.be/3E98BaZwzic" TargetMode="External"/><Relationship Id="rId493" Type="http://schemas.openxmlformats.org/officeDocument/2006/relationships/hyperlink" Target="https://www.youtube.com/watch?v=niMI1-bcbRE" TargetMode="External"/><Relationship Id="rId250" Type="http://schemas.openxmlformats.org/officeDocument/2006/relationships/hyperlink" Target="https://youtu.be/NM5sm2IA_MU" TargetMode="External"/><Relationship Id="rId371" Type="http://schemas.openxmlformats.org/officeDocument/2006/relationships/hyperlink" Target="https://www.youtube.com/watch?v=D3m-AXlDVWI" TargetMode="External"/><Relationship Id="rId492" Type="http://schemas.openxmlformats.org/officeDocument/2006/relationships/hyperlink" Target="https://youtu.be/2Mzk-RKKMWo" TargetMode="External"/><Relationship Id="rId136" Type="http://schemas.openxmlformats.org/officeDocument/2006/relationships/hyperlink" Target="https://www.youtube.com/watch?v=YNsSDP6135U&amp;ab_channel=LunatikSick" TargetMode="External"/><Relationship Id="rId257" Type="http://schemas.openxmlformats.org/officeDocument/2006/relationships/hyperlink" Target="https://www.youtube.com/watch?v=BTu6T4gaGQM&amp;ab_channel=MaxinderGD" TargetMode="External"/><Relationship Id="rId378" Type="http://schemas.openxmlformats.org/officeDocument/2006/relationships/hyperlink" Target="https://youtu.be/iu2-p00mkMg" TargetMode="External"/><Relationship Id="rId499" Type="http://schemas.openxmlformats.org/officeDocument/2006/relationships/drawing" Target="../drawings/drawing4.xml"/><Relationship Id="rId135" Type="http://schemas.openxmlformats.org/officeDocument/2006/relationships/hyperlink" Target="https://www.youtube.com/watch?v=80txmC8BPpk&amp;pp=ygURam9hcXVlbWl4IGVwc2lsb24%3D" TargetMode="External"/><Relationship Id="rId256" Type="http://schemas.openxmlformats.org/officeDocument/2006/relationships/hyperlink" Target="https://youtu.be/bbwvCmgkt9E?list=PLaVAu9oqIRsFepksy5fwUx05vM5S3SjGO" TargetMode="External"/><Relationship Id="rId377" Type="http://schemas.openxmlformats.org/officeDocument/2006/relationships/hyperlink" Target="https://youtu.be/auSLO8aAKOI" TargetMode="External"/><Relationship Id="rId498" Type="http://schemas.openxmlformats.org/officeDocument/2006/relationships/hyperlink" Target="https://www.youtube.com/watch?v=ZCAycYyjqSY" TargetMode="External"/><Relationship Id="rId134" Type="http://schemas.openxmlformats.org/officeDocument/2006/relationships/hyperlink" Target="https://www.youtube.com/watch?v=8g045kPbPSQ" TargetMode="External"/><Relationship Id="rId255" Type="http://schemas.openxmlformats.org/officeDocument/2006/relationships/hyperlink" Target="https://www.youtube.com/watch?v=_OrviTGBPqU" TargetMode="External"/><Relationship Id="rId376" Type="http://schemas.openxmlformats.org/officeDocument/2006/relationships/hyperlink" Target="https://www.youtube.com/watch?v=DgG9yWSIg28&amp;ab_channel=NotDoneYet" TargetMode="External"/><Relationship Id="rId497" Type="http://schemas.openxmlformats.org/officeDocument/2006/relationships/hyperlink" Target="https://www.youtube.com/watch?v=MvgT7NHRKdM" TargetMode="External"/><Relationship Id="rId133" Type="http://schemas.openxmlformats.org/officeDocument/2006/relationships/hyperlink" Target="https://www.youtube.com/watch?v=y3e4oS4ercE" TargetMode="External"/><Relationship Id="rId254" Type="http://schemas.openxmlformats.org/officeDocument/2006/relationships/hyperlink" Target="https://www.youtube.com/watch?v=BSbaS8Q6-ZA&amp;pp=ygUadGhlIHVsdGltYXRlIHBoYXNlIGdkbmFjaG8%3D" TargetMode="External"/><Relationship Id="rId375" Type="http://schemas.openxmlformats.org/officeDocument/2006/relationships/hyperlink" Target="https://www.youtube.com/watch?v=ccYngAb_TJk&amp;ab_channel=GWFirestorm" TargetMode="External"/><Relationship Id="rId496" Type="http://schemas.openxmlformats.org/officeDocument/2006/relationships/hyperlink" Target="https://www.youtube.com/watch?v=jVJhcX1rKHs&amp;ab_channel=MaxinderGD" TargetMode="External"/><Relationship Id="rId172" Type="http://schemas.openxmlformats.org/officeDocument/2006/relationships/hyperlink" Target="https://www.youtube.com/watch?v=T6V5BzlQ8jk" TargetMode="External"/><Relationship Id="rId293" Type="http://schemas.openxmlformats.org/officeDocument/2006/relationships/hyperlink" Target="https://www.youtube.com/watch?v=JYXGPpXKmMU" TargetMode="External"/><Relationship Id="rId171" Type="http://schemas.openxmlformats.org/officeDocument/2006/relationships/hyperlink" Target="https://www.youtube.com/watch?v=fUuBg4kUFOQ" TargetMode="External"/><Relationship Id="rId292" Type="http://schemas.openxmlformats.org/officeDocument/2006/relationships/hyperlink" Target="https://www.youtube.com/watch?v=ryii1dQ9p5k" TargetMode="External"/><Relationship Id="rId170" Type="http://schemas.openxmlformats.org/officeDocument/2006/relationships/hyperlink" Target="https://www.youtube.com/watch?v=XW5xXG4yisM" TargetMode="External"/><Relationship Id="rId291" Type="http://schemas.openxmlformats.org/officeDocument/2006/relationships/hyperlink" Target="https://youtu.be/1bkuotBTTBs?si=_0LCWK1dH1nJNbCZ" TargetMode="External"/><Relationship Id="rId290" Type="http://schemas.openxmlformats.org/officeDocument/2006/relationships/hyperlink" Target="https://youtu.be/L32qfdlxLHY" TargetMode="External"/><Relationship Id="rId165" Type="http://schemas.openxmlformats.org/officeDocument/2006/relationships/hyperlink" Target="https://www.youtube.com/watch?v=A6ruG_oJfqM" TargetMode="External"/><Relationship Id="rId286" Type="http://schemas.openxmlformats.org/officeDocument/2006/relationships/hyperlink" Target="https://www.youtube.com/watch?v=WZbTAnAundc" TargetMode="External"/><Relationship Id="rId164" Type="http://schemas.openxmlformats.org/officeDocument/2006/relationships/hyperlink" Target="https://youtu.be/INQHhMDmBj4" TargetMode="External"/><Relationship Id="rId285" Type="http://schemas.openxmlformats.org/officeDocument/2006/relationships/hyperlink" Target="https://www.youtube.com/watch?v=J4nyDBPLKM8" TargetMode="External"/><Relationship Id="rId163" Type="http://schemas.openxmlformats.org/officeDocument/2006/relationships/hyperlink" Target="https://youtu.be/1FWO2LsY5_s" TargetMode="External"/><Relationship Id="rId284" Type="http://schemas.openxmlformats.org/officeDocument/2006/relationships/hyperlink" Target="https://www.youtube.com/watch?v=uDxCvEZ5d2I" TargetMode="External"/><Relationship Id="rId162" Type="http://schemas.openxmlformats.org/officeDocument/2006/relationships/hyperlink" Target="https://medal.tv/es/games/geometry-dash/clips/jrAkc5hCwrcHevLGi/M50ZPNFYxH5s?invite=cr-MSxJRGksMTc3OTcwOTg0LA" TargetMode="External"/><Relationship Id="rId283" Type="http://schemas.openxmlformats.org/officeDocument/2006/relationships/hyperlink" Target="https://www.youtube.com/watch?v=rGx1tNBz7z0" TargetMode="External"/><Relationship Id="rId169" Type="http://schemas.openxmlformats.org/officeDocument/2006/relationships/hyperlink" Target="https://www.youtube.com/watch?v=M-EORdnMAtU" TargetMode="External"/><Relationship Id="rId168" Type="http://schemas.openxmlformats.org/officeDocument/2006/relationships/hyperlink" Target="https://www.youtube.com/watch?v=iIctlXjKU8c" TargetMode="External"/><Relationship Id="rId289" Type="http://schemas.openxmlformats.org/officeDocument/2006/relationships/hyperlink" Target="https://www.youtube.com/watch?v=Pin7EfBbwFM" TargetMode="External"/><Relationship Id="rId167" Type="http://schemas.openxmlformats.org/officeDocument/2006/relationships/hyperlink" Target="https://www.youtube.com/watch?v=Lvp-f-YXc58" TargetMode="External"/><Relationship Id="rId288" Type="http://schemas.openxmlformats.org/officeDocument/2006/relationships/hyperlink" Target="https://www.youtube.com/watch?v=3_UOwZ5Jntw" TargetMode="External"/><Relationship Id="rId166" Type="http://schemas.openxmlformats.org/officeDocument/2006/relationships/hyperlink" Target="https://www.youtube.com/watch?v=CnK2H7MSY9E" TargetMode="External"/><Relationship Id="rId287" Type="http://schemas.openxmlformats.org/officeDocument/2006/relationships/hyperlink" Target="https://www.youtube.com/watch?v=VN-2iTwPPtM" TargetMode="External"/><Relationship Id="rId161" Type="http://schemas.openxmlformats.org/officeDocument/2006/relationships/hyperlink" Target="https://youtu.be/1cm2ohcpJeM" TargetMode="External"/><Relationship Id="rId282" Type="http://schemas.openxmlformats.org/officeDocument/2006/relationships/hyperlink" Target="https://www.youtube.com/watch?v=pxpIfvLm07w" TargetMode="External"/><Relationship Id="rId160" Type="http://schemas.openxmlformats.org/officeDocument/2006/relationships/hyperlink" Target="https://www.youtube.com/watch?v=QD_eIznWrqM" TargetMode="External"/><Relationship Id="rId281" Type="http://schemas.openxmlformats.org/officeDocument/2006/relationships/hyperlink" Target="https://www.youtube.com/watch?v=gCGsoHWAokU" TargetMode="External"/><Relationship Id="rId280" Type="http://schemas.openxmlformats.org/officeDocument/2006/relationships/hyperlink" Target="https://www.youtube.com/watch?v=8p0hF0B5MBE" TargetMode="External"/><Relationship Id="rId159" Type="http://schemas.openxmlformats.org/officeDocument/2006/relationships/hyperlink" Target="https://www.youtube.com/watch?v=AwETdyw1B4Q" TargetMode="External"/><Relationship Id="rId154" Type="http://schemas.openxmlformats.org/officeDocument/2006/relationships/hyperlink" Target="https://www.youtube.com/watch?v=_tzpJ4x_to8" TargetMode="External"/><Relationship Id="rId275" Type="http://schemas.openxmlformats.org/officeDocument/2006/relationships/hyperlink" Target="https://youtu.be/njnn7HX7Hk8" TargetMode="External"/><Relationship Id="rId396" Type="http://schemas.openxmlformats.org/officeDocument/2006/relationships/hyperlink" Target="https://www.youtube.com/watch?v=lGnF-U11CWY" TargetMode="External"/><Relationship Id="rId153" Type="http://schemas.openxmlformats.org/officeDocument/2006/relationships/hyperlink" Target="https://www.youtube.com/watch?v=olMR0AwhSJg" TargetMode="External"/><Relationship Id="rId274" Type="http://schemas.openxmlformats.org/officeDocument/2006/relationships/hyperlink" Target="https://www.youtube.com/watch?v=tKdXdZUzLVk" TargetMode="External"/><Relationship Id="rId395" Type="http://schemas.openxmlformats.org/officeDocument/2006/relationships/hyperlink" Target="https://www.youtube.com/watch?v=PimJe95OAn8" TargetMode="External"/><Relationship Id="rId152" Type="http://schemas.openxmlformats.org/officeDocument/2006/relationships/hyperlink" Target="https://www.youtube.com/watch?v=JvM24MuUqXY" TargetMode="External"/><Relationship Id="rId273" Type="http://schemas.openxmlformats.org/officeDocument/2006/relationships/hyperlink" Target="https://www.youtube.com/watch?v=BKr61a0ppGA" TargetMode="External"/><Relationship Id="rId394" Type="http://schemas.openxmlformats.org/officeDocument/2006/relationships/hyperlink" Target="https://youtu.be/dBQvpVG3BBI" TargetMode="External"/><Relationship Id="rId151" Type="http://schemas.openxmlformats.org/officeDocument/2006/relationships/hyperlink" Target="https://www.youtube.com/watch?v=jyqNipnQUsQ" TargetMode="External"/><Relationship Id="rId272" Type="http://schemas.openxmlformats.org/officeDocument/2006/relationships/hyperlink" Target="https://www.youtube.com/watch?v=at9pfoc0lc8" TargetMode="External"/><Relationship Id="rId393" Type="http://schemas.openxmlformats.org/officeDocument/2006/relationships/hyperlink" Target="https://medal.tv/es/games/geometry-dash/clips/jrAkc5hCwrcHevLGi/M50ZPNFYxH5s?invite=cr-MSxJRGksMTc3OTcwOTg0LA" TargetMode="External"/><Relationship Id="rId158" Type="http://schemas.openxmlformats.org/officeDocument/2006/relationships/hyperlink" Target="https://www.youtube.com/watch?v=HlxwlqOA_uI&amp;ab_channel=AndresBeltran" TargetMode="External"/><Relationship Id="rId279" Type="http://schemas.openxmlformats.org/officeDocument/2006/relationships/hyperlink" Target="https://www.youtube.com/watch?v=FakTjJH1bZY&amp;ab_channel=MaxinderGD" TargetMode="External"/><Relationship Id="rId157" Type="http://schemas.openxmlformats.org/officeDocument/2006/relationships/hyperlink" Target="https://www.youtube.com/watch?v=V7ye7VtD8O4&amp;" TargetMode="External"/><Relationship Id="rId278" Type="http://schemas.openxmlformats.org/officeDocument/2006/relationships/hyperlink" Target="https://youtu.be/1rz9Kg1hfuY?si=rkMrQEaCBaRt-c2d" TargetMode="External"/><Relationship Id="rId399" Type="http://schemas.openxmlformats.org/officeDocument/2006/relationships/hyperlink" Target="https://www.youtube.com/watch?v=39m-fGmHU64" TargetMode="External"/><Relationship Id="rId156" Type="http://schemas.openxmlformats.org/officeDocument/2006/relationships/hyperlink" Target="https://www.youtube.com/watch?v=qy5l-Qv0dQs" TargetMode="External"/><Relationship Id="rId277" Type="http://schemas.openxmlformats.org/officeDocument/2006/relationships/hyperlink" Target="https://www.youtube.com/watch?v=tNGeIQTln_E" TargetMode="External"/><Relationship Id="rId398" Type="http://schemas.openxmlformats.org/officeDocument/2006/relationships/hyperlink" Target="https://youtu.be/jWd0blQaCOY" TargetMode="External"/><Relationship Id="rId155" Type="http://schemas.openxmlformats.org/officeDocument/2006/relationships/hyperlink" Target="https://www.youtube.com/watch?v=xjW5H7fWtJY" TargetMode="External"/><Relationship Id="rId276" Type="http://schemas.openxmlformats.org/officeDocument/2006/relationships/hyperlink" Target="https://youtu.be/Qr25-BAcUk8?si=csbM0idaWTZ1Nxps" TargetMode="External"/><Relationship Id="rId397" Type="http://schemas.openxmlformats.org/officeDocument/2006/relationships/hyperlink" Target="https://youtu.be/Y4F8I0pV7eM" TargetMode="External"/><Relationship Id="rId40" Type="http://schemas.openxmlformats.org/officeDocument/2006/relationships/hyperlink" Target="https://www.youtube.com/watch?v=JiwpsEPpTRA" TargetMode="External"/><Relationship Id="rId42" Type="http://schemas.openxmlformats.org/officeDocument/2006/relationships/hyperlink" Target="https://youtu.be/t7Fg4ptp01Y?si=nM2924MAhhZoRniE" TargetMode="External"/><Relationship Id="rId41" Type="http://schemas.openxmlformats.org/officeDocument/2006/relationships/hyperlink" Target="https://www.youtube.com/watch?v=1YElK-JuMkc&amp;t=28s&amp;pp=ygUJcmVkZWxla3lz" TargetMode="External"/><Relationship Id="rId44" Type="http://schemas.openxmlformats.org/officeDocument/2006/relationships/hyperlink" Target="https://www.youtube.com/watch?v=_dvcWcvnPFI" TargetMode="External"/><Relationship Id="rId43" Type="http://schemas.openxmlformats.org/officeDocument/2006/relationships/hyperlink" Target="https://youtu.be/iWHjV9_wLUI" TargetMode="External"/><Relationship Id="rId46" Type="http://schemas.openxmlformats.org/officeDocument/2006/relationships/hyperlink" Target="https://www.youtube.com/watch?v=7KRlJzPhO1Y" TargetMode="External"/><Relationship Id="rId45" Type="http://schemas.openxmlformats.org/officeDocument/2006/relationships/hyperlink" Target="https://www.youtube.com/watch?v=BvTGHR7YzVE&amp;t=352s&amp;pp=ygURam9hcXVlbWl4IG9taWNyb24%3D" TargetMode="External"/><Relationship Id="rId500" Type="http://schemas.openxmlformats.org/officeDocument/2006/relationships/vmlDrawing" Target="../drawings/vmlDrawing3.vml"/><Relationship Id="rId48" Type="http://schemas.openxmlformats.org/officeDocument/2006/relationships/hyperlink" Target="http://youtube.com/watch?v=H__myhXfnIg" TargetMode="External"/><Relationship Id="rId47" Type="http://schemas.openxmlformats.org/officeDocument/2006/relationships/hyperlink" Target="https://www.youtube.com/watch?v=8VFfNAdcXz8" TargetMode="External"/><Relationship Id="rId49" Type="http://schemas.openxmlformats.org/officeDocument/2006/relationships/hyperlink" Target="https://youtu.be/ezBaczBWnKA" TargetMode="External"/><Relationship Id="rId31" Type="http://schemas.openxmlformats.org/officeDocument/2006/relationships/hyperlink" Target="https://www.youtube.com/watch?v=7KvSabvGyvA&amp;t=1s" TargetMode="External"/><Relationship Id="rId30" Type="http://schemas.openxmlformats.org/officeDocument/2006/relationships/hyperlink" Target="https://www.youtube.com/watch?v=PrrGfMuZnT8" TargetMode="External"/><Relationship Id="rId33" Type="http://schemas.openxmlformats.org/officeDocument/2006/relationships/hyperlink" Target="https://www.twitch.tv/videos/2529712898" TargetMode="External"/><Relationship Id="rId32" Type="http://schemas.openxmlformats.org/officeDocument/2006/relationships/hyperlink" Target="https://youtu.be/AvPmCBWYu7U" TargetMode="External"/><Relationship Id="rId35" Type="http://schemas.openxmlformats.org/officeDocument/2006/relationships/hyperlink" Target="https://youtu.be/VVsciEKQckI?si=ALb1RS_eURMr8Y2B" TargetMode="External"/><Relationship Id="rId34" Type="http://schemas.openxmlformats.org/officeDocument/2006/relationships/hyperlink" Target="https://www.youtube.com/watch?v=PTZyyZEM6D4&amp;t=3s" TargetMode="External"/><Relationship Id="rId37" Type="http://schemas.openxmlformats.org/officeDocument/2006/relationships/hyperlink" Target="https://youtu.be/JbJomKU1dHE" TargetMode="External"/><Relationship Id="rId36" Type="http://schemas.openxmlformats.org/officeDocument/2006/relationships/hyperlink" Target="https://www.youtube.com/watch?v=kje12YGl5HY" TargetMode="External"/><Relationship Id="rId39" Type="http://schemas.openxmlformats.org/officeDocument/2006/relationships/hyperlink" Target="https://www.youtube.com/watch?v=0VT9DJQRlFs&amp;ab_channel=Sickario" TargetMode="External"/><Relationship Id="rId38" Type="http://schemas.openxmlformats.org/officeDocument/2006/relationships/hyperlink" Target="https://youtu.be/bsDMICqL4NA" TargetMode="External"/><Relationship Id="rId20" Type="http://schemas.openxmlformats.org/officeDocument/2006/relationships/hyperlink" Target="https://www.youtube.com/watch?v=XsQvHJ0Zh00" TargetMode="External"/><Relationship Id="rId22" Type="http://schemas.openxmlformats.org/officeDocument/2006/relationships/hyperlink" Target="https://youtu.be/6oCkB4ZRylA" TargetMode="External"/><Relationship Id="rId21" Type="http://schemas.openxmlformats.org/officeDocument/2006/relationships/hyperlink" Target="https://www.youtube.com/watch?v=_H7kimx8tYE&amp;ab_channel=ijoakko" TargetMode="External"/><Relationship Id="rId24" Type="http://schemas.openxmlformats.org/officeDocument/2006/relationships/hyperlink" Target="https://www.youtube.com/watch?v=pO2UCKtTYWU&amp;t=263s&amp;pp=ygUUc29uaWMgd2F2ZSBqb2FxdWVtaXg%3D" TargetMode="External"/><Relationship Id="rId23" Type="http://schemas.openxmlformats.org/officeDocument/2006/relationships/hyperlink" Target="https://www.twitch.tv/videos/2524307007?filter=all&amp;sort=time" TargetMode="External"/><Relationship Id="rId409" Type="http://schemas.openxmlformats.org/officeDocument/2006/relationships/hyperlink" Target="https://youtu.be/ca3y-E2OD5o" TargetMode="External"/><Relationship Id="rId404" Type="http://schemas.openxmlformats.org/officeDocument/2006/relationships/hyperlink" Target="https://www.youtube.com/watch?v=-5nUFd9qXeQ" TargetMode="External"/><Relationship Id="rId403" Type="http://schemas.openxmlformats.org/officeDocument/2006/relationships/hyperlink" Target="https://medal.tv/games/geometry-dash/clips/lku7Ev3BzjfD1a2pp?invite=cr-MSxJNngsMjQ0ODkzNzE5LA" TargetMode="External"/><Relationship Id="rId402" Type="http://schemas.openxmlformats.org/officeDocument/2006/relationships/hyperlink" Target="https://www.youtube.com/watch?v=epeiPFsWxL4" TargetMode="External"/><Relationship Id="rId401" Type="http://schemas.openxmlformats.org/officeDocument/2006/relationships/hyperlink" Target="https://www.youtube.com/watch?v=FfZbL1oNiNk" TargetMode="External"/><Relationship Id="rId408" Type="http://schemas.openxmlformats.org/officeDocument/2006/relationships/hyperlink" Target="https://www.youtube.com/watch?v=lGnF-U11CWY" TargetMode="External"/><Relationship Id="rId407" Type="http://schemas.openxmlformats.org/officeDocument/2006/relationships/hyperlink" Target="https://www.youtube.com/watch?v=FkVCcoP5XcI" TargetMode="External"/><Relationship Id="rId406" Type="http://schemas.openxmlformats.org/officeDocument/2006/relationships/hyperlink" Target="https://youtu.be/aFUcFByRTY0" TargetMode="External"/><Relationship Id="rId405" Type="http://schemas.openxmlformats.org/officeDocument/2006/relationships/hyperlink" Target="https://www.youtube.com/watch?v=E0k7cgwG5aE" TargetMode="External"/><Relationship Id="rId26" Type="http://schemas.openxmlformats.org/officeDocument/2006/relationships/hyperlink" Target="https://www.youtube.com/watch?v=U49qoX1zwZo" TargetMode="External"/><Relationship Id="rId25" Type="http://schemas.openxmlformats.org/officeDocument/2006/relationships/hyperlink" Target="https://www.youtube.com/watch?v=cR6jRkXe4NA" TargetMode="External"/><Relationship Id="rId28" Type="http://schemas.openxmlformats.org/officeDocument/2006/relationships/hyperlink" Target="https://www.twitch.tv/videos/2508271501" TargetMode="External"/><Relationship Id="rId27" Type="http://schemas.openxmlformats.org/officeDocument/2006/relationships/hyperlink" Target="https://www.youtube.com/watch?v=sEdHdpVE3Wg" TargetMode="External"/><Relationship Id="rId400" Type="http://schemas.openxmlformats.org/officeDocument/2006/relationships/hyperlink" Target="https://www.youtube.com/watch?v=Ir7uL4cXaYU" TargetMode="External"/><Relationship Id="rId29" Type="http://schemas.openxmlformats.org/officeDocument/2006/relationships/hyperlink" Target="https://youtu.be/keW6oKrdYeA" TargetMode="External"/><Relationship Id="rId11" Type="http://schemas.openxmlformats.org/officeDocument/2006/relationships/hyperlink" Target="https://www.youtube.com/watch?v=Nd-0qeX0H7Q" TargetMode="External"/><Relationship Id="rId10" Type="http://schemas.openxmlformats.org/officeDocument/2006/relationships/hyperlink" Target="https://www.youtube.com/watch?v=VqjFFQwQk_Q" TargetMode="External"/><Relationship Id="rId13" Type="http://schemas.openxmlformats.org/officeDocument/2006/relationships/hyperlink" Target="https://www.youtube.com/watch?v=Q2vopXoYkAY" TargetMode="External"/><Relationship Id="rId12" Type="http://schemas.openxmlformats.org/officeDocument/2006/relationships/hyperlink" Target="https://www.youtube.com/watch?v=bjFJ-eXT6gw" TargetMode="External"/><Relationship Id="rId15" Type="http://schemas.openxmlformats.org/officeDocument/2006/relationships/hyperlink" Target="https://www.youtube.com/watch?v=X0CuBf3jbDU&amp;t=118s&amp;pp=ygUXYXJjdGljIGxpZ2h0cyBqb2FxdWVtaXg%3D" TargetMode="External"/><Relationship Id="rId14" Type="http://schemas.openxmlformats.org/officeDocument/2006/relationships/hyperlink" Target="https://youtu.be/nfi_1m1aToc" TargetMode="External"/><Relationship Id="rId17" Type="http://schemas.openxmlformats.org/officeDocument/2006/relationships/hyperlink" Target="https://www.youtube.com/watch?v=kT2QIU5-xyU" TargetMode="External"/><Relationship Id="rId16" Type="http://schemas.openxmlformats.org/officeDocument/2006/relationships/hyperlink" Target="https://www.youtube.com/watch?v=AfDXD1O4pIo&amp;ab_channel=cxve" TargetMode="External"/><Relationship Id="rId19" Type="http://schemas.openxmlformats.org/officeDocument/2006/relationships/hyperlink" Target="https://www.youtube.com/watch?v=SlRDXXef8Qg" TargetMode="External"/><Relationship Id="rId18" Type="http://schemas.openxmlformats.org/officeDocument/2006/relationships/hyperlink" Target="https://www.youtube.com/watch?v=vvDqdI5xfmo" TargetMode="External"/><Relationship Id="rId84" Type="http://schemas.openxmlformats.org/officeDocument/2006/relationships/hyperlink" Target="https://www.youtube.com/watch?v=6vtXwKEAwBc" TargetMode="External"/><Relationship Id="rId83" Type="http://schemas.openxmlformats.org/officeDocument/2006/relationships/hyperlink" Target="https://www.youtube.com/watch?v=YoSLqpCdJrk&amp;t=178s&amp;pp=ygUPam9hcXVlbWl4IGRvbG9z" TargetMode="External"/><Relationship Id="rId86" Type="http://schemas.openxmlformats.org/officeDocument/2006/relationships/hyperlink" Target="https://youtu.be/iim11sMt8oQ" TargetMode="External"/><Relationship Id="rId85" Type="http://schemas.openxmlformats.org/officeDocument/2006/relationships/hyperlink" Target="https://www.youtube.com/watch?v=y2y07crm6ZY" TargetMode="External"/><Relationship Id="rId88" Type="http://schemas.openxmlformats.org/officeDocument/2006/relationships/hyperlink" Target="https://www.youtube.com/watch?v=maiNiDZn1KE" TargetMode="External"/><Relationship Id="rId87" Type="http://schemas.openxmlformats.org/officeDocument/2006/relationships/hyperlink" Target="https://www.youtube.com/watch?v=7K4Jg7HA7kI&amp;pp=ygUJcmVkZWxla3lz" TargetMode="External"/><Relationship Id="rId89" Type="http://schemas.openxmlformats.org/officeDocument/2006/relationships/hyperlink" Target="https://youtu.be/RJ28imc3pe0" TargetMode="External"/><Relationship Id="rId80" Type="http://schemas.openxmlformats.org/officeDocument/2006/relationships/hyperlink" Target="https://www.youtube.com/watch?v=1DUiZM1CeIk&amp;t=162s&amp;pp=ygUdam9hcXVlbWl4IHN1cmdlIG9mIHRoZSBzaGllbGQ%3D" TargetMode="External"/><Relationship Id="rId82" Type="http://schemas.openxmlformats.org/officeDocument/2006/relationships/hyperlink" Target="https://youtu.be/fBgUWk-MCaw" TargetMode="External"/><Relationship Id="rId81" Type="http://schemas.openxmlformats.org/officeDocument/2006/relationships/hyperlink" Target="https://www.youtube.com/watch?v=Jke-qE6DVio" TargetMode="External"/><Relationship Id="rId73" Type="http://schemas.openxmlformats.org/officeDocument/2006/relationships/hyperlink" Target="https://www.youtube.com/watch?v=9PUDWbHJuUA" TargetMode="External"/><Relationship Id="rId72" Type="http://schemas.openxmlformats.org/officeDocument/2006/relationships/hyperlink" Target="https://youtu.be/c0DyXI7X1Wc" TargetMode="External"/><Relationship Id="rId75" Type="http://schemas.openxmlformats.org/officeDocument/2006/relationships/hyperlink" Target="https://youtu.be/s3TpXCE6pc4" TargetMode="External"/><Relationship Id="rId74" Type="http://schemas.openxmlformats.org/officeDocument/2006/relationships/hyperlink" Target="https://youtu.be/d4N7Y1w44hk?t=133" TargetMode="External"/><Relationship Id="rId77" Type="http://schemas.openxmlformats.org/officeDocument/2006/relationships/hyperlink" Target="https://www.twitch.tv/videos/2524307010?filter=all&amp;sort=time" TargetMode="External"/><Relationship Id="rId76" Type="http://schemas.openxmlformats.org/officeDocument/2006/relationships/hyperlink" Target="https://www.youtube.com/watch?v=5PgsdCIiiaQ" TargetMode="External"/><Relationship Id="rId79" Type="http://schemas.openxmlformats.org/officeDocument/2006/relationships/hyperlink" Target="https://www.youtube.com/watch?v=MrecvJLNTIE" TargetMode="External"/><Relationship Id="rId78" Type="http://schemas.openxmlformats.org/officeDocument/2006/relationships/hyperlink" Target="https://www.youtube.com/watch?v=lRtURnkJrxY" TargetMode="External"/><Relationship Id="rId71" Type="http://schemas.openxmlformats.org/officeDocument/2006/relationships/hyperlink" Target="https://pointercrate.com/demonlist/statsviewer?player=42284" TargetMode="External"/><Relationship Id="rId70" Type="http://schemas.openxmlformats.org/officeDocument/2006/relationships/hyperlink" Target="https://youtu.be/_IBdnNiYaJ8" TargetMode="External"/><Relationship Id="rId62" Type="http://schemas.openxmlformats.org/officeDocument/2006/relationships/hyperlink" Target="https://www.youtube.com/watch?v=wayGjQI538A" TargetMode="External"/><Relationship Id="rId61" Type="http://schemas.openxmlformats.org/officeDocument/2006/relationships/hyperlink" Target="https://www.youtube.com/watch?v=4MA5rZJxJ2I" TargetMode="External"/><Relationship Id="rId64" Type="http://schemas.openxmlformats.org/officeDocument/2006/relationships/hyperlink" Target="https://medal.tv/es/games/geometry-dash/clips/1Q0LcKJ8SjIhLb/PEfpg85eVjJQ?invite=cr-MSwyOXAsNTI2NzAxMDMs?mobilebypass=true" TargetMode="External"/><Relationship Id="rId63" Type="http://schemas.openxmlformats.org/officeDocument/2006/relationships/hyperlink" Target="https://www.twitch.tv/videos/2484515233?filter=all&amp;sort=time" TargetMode="External"/><Relationship Id="rId66" Type="http://schemas.openxmlformats.org/officeDocument/2006/relationships/hyperlink" Target="https://youtu.be/XlpAnlOn2Pk" TargetMode="External"/><Relationship Id="rId65" Type="http://schemas.openxmlformats.org/officeDocument/2006/relationships/hyperlink" Target="https://youtu.be/c7E_SyoAZjg?si=3JBWgCZBOLHbVcxo" TargetMode="External"/><Relationship Id="rId68" Type="http://schemas.openxmlformats.org/officeDocument/2006/relationships/hyperlink" Target="https://youtu.be/j3L1JwHfEWg?si=bFlFpkpx-YEm5Y8U" TargetMode="External"/><Relationship Id="rId67" Type="http://schemas.openxmlformats.org/officeDocument/2006/relationships/hyperlink" Target="https://www.twitch.tv/videos/2527886186?filter=all&amp;sort=time" TargetMode="External"/><Relationship Id="rId60" Type="http://schemas.openxmlformats.org/officeDocument/2006/relationships/hyperlink" Target="https://www.youtube.com/watch?v=i-ogPFB-sr0" TargetMode="External"/><Relationship Id="rId69" Type="http://schemas.openxmlformats.org/officeDocument/2006/relationships/hyperlink" Target="https://youtu.be/xSHvW2Wzpgo?si=hvlrVWLqUlLXFEbP" TargetMode="External"/><Relationship Id="rId51" Type="http://schemas.openxmlformats.org/officeDocument/2006/relationships/hyperlink" Target="https://www.youtube.com/watch?v=wB-k-CuTvEI" TargetMode="External"/><Relationship Id="rId50" Type="http://schemas.openxmlformats.org/officeDocument/2006/relationships/hyperlink" Target="https://www.youtube.com/watch?v=ZYr2wfXcNOA&amp;t=1s&amp;ab_channel=Joaquemix" TargetMode="External"/><Relationship Id="rId53" Type="http://schemas.openxmlformats.org/officeDocument/2006/relationships/hyperlink" Target="https://www.youtube.com/watch?v=4tDElA9Ac8w&amp;pp=ygUPam9hcXVlbWl4IDIgMSAx" TargetMode="External"/><Relationship Id="rId52" Type="http://schemas.openxmlformats.org/officeDocument/2006/relationships/hyperlink" Target="https://www.youtube.com/watch?v=Bxv9iYhjt-w" TargetMode="External"/><Relationship Id="rId55" Type="http://schemas.openxmlformats.org/officeDocument/2006/relationships/hyperlink" Target="https://medal.tv/es/games/geometry-dash/clips/jrY0U3tbpLTyFQytZ/CgMZrTdrtkZ9?invite=cr-MSxQWTIsMTc3OTcwOTg0LA" TargetMode="External"/><Relationship Id="rId54" Type="http://schemas.openxmlformats.org/officeDocument/2006/relationships/hyperlink" Target="https://medal.tv/es/games/geometry-dash/clips/1TBSz4n961ZEwU/WyfRlty7IYR4?invite=cr-MSxVQVQsNTI2NzAxMDMs?mobilebypass=true" TargetMode="External"/><Relationship Id="rId57" Type="http://schemas.openxmlformats.org/officeDocument/2006/relationships/hyperlink" Target="https://youtu.be/aIM3yweufTs" TargetMode="External"/><Relationship Id="rId56" Type="http://schemas.openxmlformats.org/officeDocument/2006/relationships/hyperlink" Target="https://www.youtube.com/watch?v=S-3l-Cx_pcE" TargetMode="External"/><Relationship Id="rId59" Type="http://schemas.openxmlformats.org/officeDocument/2006/relationships/hyperlink" Target="https://medal.tv/es/games/geometry-dash/clips/1OCqW7kF95G8jX/cB9uQZTRtjrF?invite=cr-MSxlNG0sNTI2NzAxMDMs?mobilebypass=true" TargetMode="External"/><Relationship Id="rId58" Type="http://schemas.openxmlformats.org/officeDocument/2006/relationships/hyperlink" Target="https://www.youtube.com/watch?v=XmL-Y7Wq4zQ" TargetMode="External"/><Relationship Id="rId107" Type="http://schemas.openxmlformats.org/officeDocument/2006/relationships/hyperlink" Target="https://www.youtube.com/watch?v=mxfi1H16Fbg" TargetMode="External"/><Relationship Id="rId228" Type="http://schemas.openxmlformats.org/officeDocument/2006/relationships/hyperlink" Target="https://www.youtube.com/watch?v=mxCRJWEmGa0" TargetMode="External"/><Relationship Id="rId349" Type="http://schemas.openxmlformats.org/officeDocument/2006/relationships/hyperlink" Target="https://www.youtube.com/watch?v=_WYDXn_ZhZQ" TargetMode="External"/><Relationship Id="rId106" Type="http://schemas.openxmlformats.org/officeDocument/2006/relationships/hyperlink" Target="https://www.youtube.com/watch?v=9eADBKj0scA" TargetMode="External"/><Relationship Id="rId227" Type="http://schemas.openxmlformats.org/officeDocument/2006/relationships/hyperlink" Target="https://youtu.be/8BSfRzNcqEE" TargetMode="External"/><Relationship Id="rId348" Type="http://schemas.openxmlformats.org/officeDocument/2006/relationships/hyperlink" Target="https://www.youtube.com/watch?v=ezLXPykzdg4" TargetMode="External"/><Relationship Id="rId469" Type="http://schemas.openxmlformats.org/officeDocument/2006/relationships/hyperlink" Target="https://www.youtube.com/watch?v=0MaxnZSBeDQ&amp;pp=ygULME1heG5aU0JlRFE%3D" TargetMode="External"/><Relationship Id="rId105" Type="http://schemas.openxmlformats.org/officeDocument/2006/relationships/hyperlink" Target="https://www.youtube.com/watch?v=hk97FBiLswM&amp;ab_channel=AndresBeltran" TargetMode="External"/><Relationship Id="rId226" Type="http://schemas.openxmlformats.org/officeDocument/2006/relationships/hyperlink" Target="https://www.youtube.com/watch?v=gY-XzRJHJTY" TargetMode="External"/><Relationship Id="rId347" Type="http://schemas.openxmlformats.org/officeDocument/2006/relationships/hyperlink" Target="https://www.youtube.com/watch?v=1HsCRT41CE4" TargetMode="External"/><Relationship Id="rId468" Type="http://schemas.openxmlformats.org/officeDocument/2006/relationships/hyperlink" Target="https://youtu.be/CnABl58-oFM" TargetMode="External"/><Relationship Id="rId104" Type="http://schemas.openxmlformats.org/officeDocument/2006/relationships/hyperlink" Target="https://www.youtube.com/watch?v=kM0l64QQK7k&amp;pp=ygUYZ2RuYWNobyBibGFkZSBvZiBqdXN0aWNl" TargetMode="External"/><Relationship Id="rId225" Type="http://schemas.openxmlformats.org/officeDocument/2006/relationships/hyperlink" Target="https://www.youtube.com/watch?v=V3DLklNj_H4" TargetMode="External"/><Relationship Id="rId346" Type="http://schemas.openxmlformats.org/officeDocument/2006/relationships/hyperlink" Target="https://www.youtube.com/watch?v=f6sNSbiLyMU&amp;pp=ygUJcmVkZWxla3lz" TargetMode="External"/><Relationship Id="rId467" Type="http://schemas.openxmlformats.org/officeDocument/2006/relationships/hyperlink" Target="https://www.youtube.com/watch?v=QuJ2IEZevKE" TargetMode="External"/><Relationship Id="rId109" Type="http://schemas.openxmlformats.org/officeDocument/2006/relationships/hyperlink" Target="https://www.youtube.com/watch?v=4jBt49WSg_I" TargetMode="External"/><Relationship Id="rId108" Type="http://schemas.openxmlformats.org/officeDocument/2006/relationships/hyperlink" Target="https://www.youtube.com/watch?v=XlgcmEkuibI" TargetMode="External"/><Relationship Id="rId229" Type="http://schemas.openxmlformats.org/officeDocument/2006/relationships/hyperlink" Target="https://youtu.be/KLEFzpVysSc" TargetMode="External"/><Relationship Id="rId220" Type="http://schemas.openxmlformats.org/officeDocument/2006/relationships/hyperlink" Target="https://www.youtube.com/watch?v=GbrMP_kAjHo" TargetMode="External"/><Relationship Id="rId341" Type="http://schemas.openxmlformats.org/officeDocument/2006/relationships/hyperlink" Target="https://www.youtube.com/watch?v=U_gvz7EX4PI" TargetMode="External"/><Relationship Id="rId462" Type="http://schemas.openxmlformats.org/officeDocument/2006/relationships/hyperlink" Target="https://www.youtube.com/watch?v=qlM0CaHSw7I" TargetMode="External"/><Relationship Id="rId340" Type="http://schemas.openxmlformats.org/officeDocument/2006/relationships/hyperlink" Target="https://www.youtube.com/watch?v=z6DwK0fHcxc&amp;t" TargetMode="External"/><Relationship Id="rId461" Type="http://schemas.openxmlformats.org/officeDocument/2006/relationships/hyperlink" Target="https://www.youtube.com/watch?v=jClT3_Bdf5c" TargetMode="External"/><Relationship Id="rId460" Type="http://schemas.openxmlformats.org/officeDocument/2006/relationships/hyperlink" Target="https://www.youtube.com/watch?v=lpU-zWdlT14&amp;feature=youtu.be" TargetMode="External"/><Relationship Id="rId103" Type="http://schemas.openxmlformats.org/officeDocument/2006/relationships/hyperlink" Target="https://youtu.be/VOuHFYRl2qQ%20nivel%20tan%20malo%20que%20tenes%20que%20pausar%20y%20cambiar%20de%20teclas" TargetMode="External"/><Relationship Id="rId224" Type="http://schemas.openxmlformats.org/officeDocument/2006/relationships/hyperlink" Target="https://www.youtube.com/watch?v=8h4wjKmFQhw" TargetMode="External"/><Relationship Id="rId345" Type="http://schemas.openxmlformats.org/officeDocument/2006/relationships/hyperlink" Target="https://youtu.be/k6fXefsn4EU" TargetMode="External"/><Relationship Id="rId466" Type="http://schemas.openxmlformats.org/officeDocument/2006/relationships/hyperlink" Target="https://www.youtube.com/watch?v=3J6tHYLFfCc&amp;t=1s&amp;pp=ygULM0o2dEhZTEZmQ2M%3D" TargetMode="External"/><Relationship Id="rId102" Type="http://schemas.openxmlformats.org/officeDocument/2006/relationships/hyperlink" Target="https://www.youtube.com/watch?v=HKAEOLUbPRM" TargetMode="External"/><Relationship Id="rId223" Type="http://schemas.openxmlformats.org/officeDocument/2006/relationships/hyperlink" Target="https://www.youtube.com/watch?v=VSJquyJSbGc" TargetMode="External"/><Relationship Id="rId344" Type="http://schemas.openxmlformats.org/officeDocument/2006/relationships/hyperlink" Target="https://youtu.be/sl6knI2IoOo" TargetMode="External"/><Relationship Id="rId465" Type="http://schemas.openxmlformats.org/officeDocument/2006/relationships/hyperlink" Target="https://www.youtube.com/watch?v=LfDIzR1Orxc&amp;pp=ygULTGZESXpSMU9yeGM%3D" TargetMode="External"/><Relationship Id="rId101" Type="http://schemas.openxmlformats.org/officeDocument/2006/relationships/hyperlink" Target="https://www.youtube.com/watch?v=KjE_r_8N54s" TargetMode="External"/><Relationship Id="rId222" Type="http://schemas.openxmlformats.org/officeDocument/2006/relationships/hyperlink" Target="https://www.youtube.com/watch?v=I8GCMPVYfdY" TargetMode="External"/><Relationship Id="rId343" Type="http://schemas.openxmlformats.org/officeDocument/2006/relationships/hyperlink" Target="https://www.youtube.com/watch?v=xwX3nHiWEJo" TargetMode="External"/><Relationship Id="rId464" Type="http://schemas.openxmlformats.org/officeDocument/2006/relationships/hyperlink" Target="https://www.youtube.com/watch?v=z8yGnP4ilbY&amp;pp=ygULejh5R25QNGlsYlk%3D" TargetMode="External"/><Relationship Id="rId100" Type="http://schemas.openxmlformats.org/officeDocument/2006/relationships/hyperlink" Target="https://youtu.be/hyBjG7k_37w" TargetMode="External"/><Relationship Id="rId221" Type="http://schemas.openxmlformats.org/officeDocument/2006/relationships/hyperlink" Target="https://youtu.be/eqNYKBkeRCA?si=sb8GCWXvzdyts745" TargetMode="External"/><Relationship Id="rId342" Type="http://schemas.openxmlformats.org/officeDocument/2006/relationships/hyperlink" Target="https://youtu.be/uWpxyhDcIaM" TargetMode="External"/><Relationship Id="rId463" Type="http://schemas.openxmlformats.org/officeDocument/2006/relationships/hyperlink" Target="https://youtu.be/Wk0XAujuiyA?list=PLWOoVYfOzoyX2FVTYd3xe2vCPqw9zZcp-" TargetMode="External"/><Relationship Id="rId217" Type="http://schemas.openxmlformats.org/officeDocument/2006/relationships/hyperlink" Target="https://www.youtube.com/watch?v=tT5vzcf2eus" TargetMode="External"/><Relationship Id="rId338" Type="http://schemas.openxmlformats.org/officeDocument/2006/relationships/hyperlink" Target="https://youtu.be/jgm8N5K_hd0?si=Ya8SkwYzrIv5dA03" TargetMode="External"/><Relationship Id="rId459" Type="http://schemas.openxmlformats.org/officeDocument/2006/relationships/hyperlink" Target="https://youtu.be/dU_bjqauW9I" TargetMode="External"/><Relationship Id="rId216" Type="http://schemas.openxmlformats.org/officeDocument/2006/relationships/hyperlink" Target="https://www.youtube.com/watch?v=xb5ptB62TyA" TargetMode="External"/><Relationship Id="rId337" Type="http://schemas.openxmlformats.org/officeDocument/2006/relationships/hyperlink" Target="https://www.youtube.com/watch?v=ykDYXCKrfJ4&amp;pp=ygUUam9hcXVlbWl4IGp1c3QgZGFuY2U%3D" TargetMode="External"/><Relationship Id="rId458" Type="http://schemas.openxmlformats.org/officeDocument/2006/relationships/hyperlink" Target="https://www.youtube.com/watch?v=SQdjtFVxdQE" TargetMode="External"/><Relationship Id="rId215" Type="http://schemas.openxmlformats.org/officeDocument/2006/relationships/hyperlink" Target="https://www.youtube.com/watch?v=JuZ3clmVx0I" TargetMode="External"/><Relationship Id="rId336" Type="http://schemas.openxmlformats.org/officeDocument/2006/relationships/hyperlink" Target="https://www.youtube.com/watch?v=2R7h79VbSuM" TargetMode="External"/><Relationship Id="rId457" Type="http://schemas.openxmlformats.org/officeDocument/2006/relationships/hyperlink" Target="https://youtu.be/gN6ZdcV62Ks" TargetMode="External"/><Relationship Id="rId214" Type="http://schemas.openxmlformats.org/officeDocument/2006/relationships/hyperlink" Target="https://www.youtube.com/watch?v=R_DzOde0mNU" TargetMode="External"/><Relationship Id="rId335" Type="http://schemas.openxmlformats.org/officeDocument/2006/relationships/hyperlink" Target="https://youtu.be/95uJiKDeytc" TargetMode="External"/><Relationship Id="rId456" Type="http://schemas.openxmlformats.org/officeDocument/2006/relationships/hyperlink" Target="https://www.youtube.com/watch?v=gjNyImLNaUs" TargetMode="External"/><Relationship Id="rId219" Type="http://schemas.openxmlformats.org/officeDocument/2006/relationships/hyperlink" Target="https://www.youtube.com/watch?v=bN73YL88kmc" TargetMode="External"/><Relationship Id="rId218" Type="http://schemas.openxmlformats.org/officeDocument/2006/relationships/hyperlink" Target="https://www.youtube.com/watch?v=BU1ncLTP_6o&amp;feature=youtu.be" TargetMode="External"/><Relationship Id="rId339" Type="http://schemas.openxmlformats.org/officeDocument/2006/relationships/hyperlink" Target="https://www.youtube.com/watch?v=vyKqEjRY_Tc&amp;pp=ygUaam9hcXVlbWl4IHZpcnR1YWwgY29sbGFwc2U%3D" TargetMode="External"/><Relationship Id="rId330" Type="http://schemas.openxmlformats.org/officeDocument/2006/relationships/hyperlink" Target="https://www.youtube.com/watch?v=XrJh4BzcK3o&amp;t=1s" TargetMode="External"/><Relationship Id="rId451" Type="http://schemas.openxmlformats.org/officeDocument/2006/relationships/hyperlink" Target="https://www.youtube.com/watch?v=0A7l4EEr7d8" TargetMode="External"/><Relationship Id="rId450" Type="http://schemas.openxmlformats.org/officeDocument/2006/relationships/hyperlink" Target="https://youtu.be/eGBoRf7hrm0" TargetMode="External"/><Relationship Id="rId213" Type="http://schemas.openxmlformats.org/officeDocument/2006/relationships/hyperlink" Target="https://youtu.be/Qq5WSGqiO_0" TargetMode="External"/><Relationship Id="rId334" Type="http://schemas.openxmlformats.org/officeDocument/2006/relationships/hyperlink" Target="https://youtu.be/1AzUMfXYVwg" TargetMode="External"/><Relationship Id="rId455" Type="http://schemas.openxmlformats.org/officeDocument/2006/relationships/hyperlink" Target="https://youtu.be/-haLc-bHC28" TargetMode="External"/><Relationship Id="rId212" Type="http://schemas.openxmlformats.org/officeDocument/2006/relationships/hyperlink" Target="https://youtu.be/CzhH8uxrvcw" TargetMode="External"/><Relationship Id="rId333" Type="http://schemas.openxmlformats.org/officeDocument/2006/relationships/hyperlink" Target="https://www.youtube.com/watch?v=uDZMeqgk_m8" TargetMode="External"/><Relationship Id="rId454" Type="http://schemas.openxmlformats.org/officeDocument/2006/relationships/hyperlink" Target="https://www.youtube.com/watch?v=jqNGdiVVFjI" TargetMode="External"/><Relationship Id="rId211" Type="http://schemas.openxmlformats.org/officeDocument/2006/relationships/hyperlink" Target="https://medal.tv/es/games/geometry-dash/clips/jrG8OBf6RNOt5ZobK/FsH1atAQLvAn?invite=cr-MSxzY3IsMTc3OTcwOTg0LA" TargetMode="External"/><Relationship Id="rId332" Type="http://schemas.openxmlformats.org/officeDocument/2006/relationships/hyperlink" Target="https://www.youtube.com/watch?v=g6ZBqdrf-yU&amp;ab_channel=Redelekys" TargetMode="External"/><Relationship Id="rId453" Type="http://schemas.openxmlformats.org/officeDocument/2006/relationships/hyperlink" Target="https://www.youtube.com/watch?v=2m9sIrbNavs" TargetMode="External"/><Relationship Id="rId210" Type="http://schemas.openxmlformats.org/officeDocument/2006/relationships/hyperlink" Target="https://www.youtube.com/watch?v=BGcY5zjoBa8" TargetMode="External"/><Relationship Id="rId331" Type="http://schemas.openxmlformats.org/officeDocument/2006/relationships/hyperlink" Target="https://www.youtube.com/watch?v=bRwdjkNvGRo&amp;ab_channel=%CF%80zza" TargetMode="External"/><Relationship Id="rId452" Type="http://schemas.openxmlformats.org/officeDocument/2006/relationships/hyperlink" Target="https://youtu.be/SN23h_rlSoU" TargetMode="External"/><Relationship Id="rId370" Type="http://schemas.openxmlformats.org/officeDocument/2006/relationships/hyperlink" Target="https://www.youtube.com/watch?v=spRRYD35KHE&amp;pp=0gcJCccJAYcqIYzv" TargetMode="External"/><Relationship Id="rId491" Type="http://schemas.openxmlformats.org/officeDocument/2006/relationships/hyperlink" Target="https://www.youtube.com/watch?v=o6M9sfysq_4" TargetMode="External"/><Relationship Id="rId490" Type="http://schemas.openxmlformats.org/officeDocument/2006/relationships/hyperlink" Target="https://www.youtube.com/watch?v=nw-uT02ub2I" TargetMode="External"/><Relationship Id="rId129" Type="http://schemas.openxmlformats.org/officeDocument/2006/relationships/hyperlink" Target="https://www.youtube.com/watch?v=Xq8tZCZD1Ko&amp;pp=ygUWam9hcXVlbWl4IHRlbnRoIGNpcmNsZQ%3D%3D" TargetMode="External"/><Relationship Id="rId128" Type="http://schemas.openxmlformats.org/officeDocument/2006/relationships/hyperlink" Target="https://www.youtube.com/watch?v=yIXnS_1Vi8w" TargetMode="External"/><Relationship Id="rId249" Type="http://schemas.openxmlformats.org/officeDocument/2006/relationships/hyperlink" Target="https://www.youtube.com/watch?v=kJLkPRQm2Pg" TargetMode="External"/><Relationship Id="rId127" Type="http://schemas.openxmlformats.org/officeDocument/2006/relationships/hyperlink" Target="https://www.youtube.com/watch?v=9Qi8FLugcl8" TargetMode="External"/><Relationship Id="rId248" Type="http://schemas.openxmlformats.org/officeDocument/2006/relationships/hyperlink" Target="https://www.youtube.com/watch?v=ap61-uNQl6c" TargetMode="External"/><Relationship Id="rId369" Type="http://schemas.openxmlformats.org/officeDocument/2006/relationships/hyperlink" Target="https://www.youtube.com/watch?v=giaMvMSlSZo" TargetMode="External"/><Relationship Id="rId126" Type="http://schemas.openxmlformats.org/officeDocument/2006/relationships/hyperlink" Target="https://www.youtube.com/watch?v=rl6zkbt4OGM" TargetMode="External"/><Relationship Id="rId247" Type="http://schemas.openxmlformats.org/officeDocument/2006/relationships/hyperlink" Target="https://www.youtube.com/watch?v=gPk6mirnFZg" TargetMode="External"/><Relationship Id="rId368" Type="http://schemas.openxmlformats.org/officeDocument/2006/relationships/hyperlink" Target="https://www.youtube.com/watch?v=9KDzc1JstAk" TargetMode="External"/><Relationship Id="rId489" Type="http://schemas.openxmlformats.org/officeDocument/2006/relationships/hyperlink" Target="https://youtu.be/sDwi1zAM8ks" TargetMode="External"/><Relationship Id="rId121" Type="http://schemas.openxmlformats.org/officeDocument/2006/relationships/hyperlink" Target="https://www.youtube.com/watch?v=ZLLEkNi-rpM" TargetMode="External"/><Relationship Id="rId242" Type="http://schemas.openxmlformats.org/officeDocument/2006/relationships/hyperlink" Target="https://www.youtube.com/watch?v=nCY2AlH-QgA" TargetMode="External"/><Relationship Id="rId363" Type="http://schemas.openxmlformats.org/officeDocument/2006/relationships/hyperlink" Target="https://www.youtube.com/watch?v=jg1sGnCsG30" TargetMode="External"/><Relationship Id="rId484" Type="http://schemas.openxmlformats.org/officeDocument/2006/relationships/hyperlink" Target="https://www.youtube.com/watch?v=VzYR0k_caGA" TargetMode="External"/><Relationship Id="rId120" Type="http://schemas.openxmlformats.org/officeDocument/2006/relationships/hyperlink" Target="https://youtu.be/_uJqsUadWW8" TargetMode="External"/><Relationship Id="rId241" Type="http://schemas.openxmlformats.org/officeDocument/2006/relationships/hyperlink" Target="https://www.youtube.com/watch?v=_JrOLL_k1is" TargetMode="External"/><Relationship Id="rId362" Type="http://schemas.openxmlformats.org/officeDocument/2006/relationships/hyperlink" Target="https://www.youtube.com/watch?v=ozFM3YrgnCI" TargetMode="External"/><Relationship Id="rId483" Type="http://schemas.openxmlformats.org/officeDocument/2006/relationships/hyperlink" Target="https://www.youtube.com/watch?v=FQMEydm_2Uw" TargetMode="External"/><Relationship Id="rId240" Type="http://schemas.openxmlformats.org/officeDocument/2006/relationships/hyperlink" Target="https://www.youtube.com/watch?v=lEbB8qtTcgc" TargetMode="External"/><Relationship Id="rId361" Type="http://schemas.openxmlformats.org/officeDocument/2006/relationships/hyperlink" Target="https://www.youtube.com/watch?v=qnAKPfzrkRs" TargetMode="External"/><Relationship Id="rId482" Type="http://schemas.openxmlformats.org/officeDocument/2006/relationships/hyperlink" Target="https://youtu.be/Z3iqZkXWA_w" TargetMode="External"/><Relationship Id="rId360" Type="http://schemas.openxmlformats.org/officeDocument/2006/relationships/hyperlink" Target="https://www.youtube.com/watch?v=1bjrt0kDGIU" TargetMode="External"/><Relationship Id="rId481" Type="http://schemas.openxmlformats.org/officeDocument/2006/relationships/hyperlink" Target="https://www.youtube.com/watch?v=vlt9SUKg5-8" TargetMode="External"/><Relationship Id="rId125" Type="http://schemas.openxmlformats.org/officeDocument/2006/relationships/hyperlink" Target="https://www.youtube.com/watch?v=SAHUVGDNJkA" TargetMode="External"/><Relationship Id="rId246" Type="http://schemas.openxmlformats.org/officeDocument/2006/relationships/hyperlink" Target="https://youtu.be/wwoVtoWeVEI?si=BLw-QDV4BXxaaJ3M" TargetMode="External"/><Relationship Id="rId367" Type="http://schemas.openxmlformats.org/officeDocument/2006/relationships/hyperlink" Target="https://www.youtube.com/watch?v=O2oEYoHbots&amp;ab_channel=Redelekys" TargetMode="External"/><Relationship Id="rId488" Type="http://schemas.openxmlformats.org/officeDocument/2006/relationships/hyperlink" Target="https://www.youtube.com/watch?v=I2_dzP-BmIc" TargetMode="External"/><Relationship Id="rId124" Type="http://schemas.openxmlformats.org/officeDocument/2006/relationships/hyperlink" Target="https://www.youtube.com/watch?v=MIiAWaA76NU&amp;pp=ygUWam9hcXVlbWl4IHNha3VwZW4gaGVsbA%3D%3D" TargetMode="External"/><Relationship Id="rId245" Type="http://schemas.openxmlformats.org/officeDocument/2006/relationships/hyperlink" Target="https://youtu.be/_e3TpkzHcdk?si=YB5vO4_6HRytd6LI" TargetMode="External"/><Relationship Id="rId366" Type="http://schemas.openxmlformats.org/officeDocument/2006/relationships/hyperlink" Target="https://www.youtube.com/watch?v=djQA3eb2v8s" TargetMode="External"/><Relationship Id="rId487" Type="http://schemas.openxmlformats.org/officeDocument/2006/relationships/hyperlink" Target="https://www.youtube.com/watch?v=jHxRiLKQtT4" TargetMode="External"/><Relationship Id="rId123" Type="http://schemas.openxmlformats.org/officeDocument/2006/relationships/hyperlink" Target="https://www.youtube.com/watch?v=2841JeRJrqE&amp;ab_channel=AndresBeltran" TargetMode="External"/><Relationship Id="rId244" Type="http://schemas.openxmlformats.org/officeDocument/2006/relationships/hyperlink" Target="https://www.youtube.com/watch?v=UCxbxwmTt1I" TargetMode="External"/><Relationship Id="rId365" Type="http://schemas.openxmlformats.org/officeDocument/2006/relationships/hyperlink" Target="https://www.youtube.com/watch?v=Y-44EM9rgug" TargetMode="External"/><Relationship Id="rId486" Type="http://schemas.openxmlformats.org/officeDocument/2006/relationships/hyperlink" Target="https://www.youtube.com/watch?v=19KmLMXu4Ks" TargetMode="External"/><Relationship Id="rId122" Type="http://schemas.openxmlformats.org/officeDocument/2006/relationships/hyperlink" Target="https://medal.tv/es/games/geometry-dash/clips/26nTuB12hPfX72/8PYLXNFaByJ2?invite=cr-MSxzamosNTI2NzAxMDMs?mobilebypass=true" TargetMode="External"/><Relationship Id="rId243" Type="http://schemas.openxmlformats.org/officeDocument/2006/relationships/hyperlink" Target="https://youtu.be/2Ej7wKRZUdI" TargetMode="External"/><Relationship Id="rId364" Type="http://schemas.openxmlformats.org/officeDocument/2006/relationships/hyperlink" Target="https://www.youtube.com/watch?v=mj9qKvXVPUM" TargetMode="External"/><Relationship Id="rId485" Type="http://schemas.openxmlformats.org/officeDocument/2006/relationships/hyperlink" Target="https://youtu.be/54G1WlA4rBA" TargetMode="External"/><Relationship Id="rId95" Type="http://schemas.openxmlformats.org/officeDocument/2006/relationships/hyperlink" Target="https://www.youtube.com/watch?v=DqvaUwbpJfo&amp;pp=ygUYZ2Qgc2t5bGx6IGluZmVybmFsIGFieXNz" TargetMode="External"/><Relationship Id="rId94" Type="http://schemas.openxmlformats.org/officeDocument/2006/relationships/hyperlink" Target="https://youtu.be/KZGkycVOnrU" TargetMode="External"/><Relationship Id="rId97" Type="http://schemas.openxmlformats.org/officeDocument/2006/relationships/hyperlink" Target="https://www.youtube.com/watch?v=0GqjVPCGvmc" TargetMode="External"/><Relationship Id="rId96" Type="http://schemas.openxmlformats.org/officeDocument/2006/relationships/hyperlink" Target="https://www.youtube.com/watch?v=-IfDfoqbzpI" TargetMode="External"/><Relationship Id="rId99" Type="http://schemas.openxmlformats.org/officeDocument/2006/relationships/hyperlink" Target="https://www.youtube.com/watch?v=QwdlIhQ6wQw" TargetMode="External"/><Relationship Id="rId480" Type="http://schemas.openxmlformats.org/officeDocument/2006/relationships/hyperlink" Target="https://medal.tv/es/games/geometry-dash/clips/jrX5i3g40BdWpYajY/TqRChxNTYg94?invite=cr-MSxXdnksMTc3OTcwOTg0LA" TargetMode="External"/><Relationship Id="rId98" Type="http://schemas.openxmlformats.org/officeDocument/2006/relationships/hyperlink" Target="https://www.youtube.com/watch?v=brFug1pCiWg" TargetMode="External"/><Relationship Id="rId91" Type="http://schemas.openxmlformats.org/officeDocument/2006/relationships/hyperlink" Target="https://youtu.be/vOzFNtVo4xc" TargetMode="External"/><Relationship Id="rId90" Type="http://schemas.openxmlformats.org/officeDocument/2006/relationships/hyperlink" Target="https://www.youtube.com/watch?v=3S8UjOVmNag" TargetMode="External"/><Relationship Id="rId93" Type="http://schemas.openxmlformats.org/officeDocument/2006/relationships/hyperlink" Target="https://youtu.be/dyGTegwYIaA" TargetMode="External"/><Relationship Id="rId92" Type="http://schemas.openxmlformats.org/officeDocument/2006/relationships/hyperlink" Target="https://www.youtube.com/watch?v=iqF95K0r5zI" TargetMode="External"/><Relationship Id="rId118" Type="http://schemas.openxmlformats.org/officeDocument/2006/relationships/hyperlink" Target="https://www.youtube.com/watch?v=N6-_DSW5PpI&amp;pp=ygURZ2QgYW5kcmVzIGJlbHRyYW4%3D" TargetMode="External"/><Relationship Id="rId239" Type="http://schemas.openxmlformats.org/officeDocument/2006/relationships/hyperlink" Target="https://www.youtube.com/watch?v=fJ6xzR-d9Pc" TargetMode="External"/><Relationship Id="rId117" Type="http://schemas.openxmlformats.org/officeDocument/2006/relationships/hyperlink" Target="https://www.youtube.com/watch?v=v7QHebxW-dw&amp;ab_channel=Sickario" TargetMode="External"/><Relationship Id="rId238" Type="http://schemas.openxmlformats.org/officeDocument/2006/relationships/hyperlink" Target="https://www.youtube.com/watch?v=U3SbkKHAyVs" TargetMode="External"/><Relationship Id="rId359" Type="http://schemas.openxmlformats.org/officeDocument/2006/relationships/hyperlink" Target="https://www.youtube.com/watch?v=r9C0YQ8K5CY" TargetMode="External"/><Relationship Id="rId116" Type="http://schemas.openxmlformats.org/officeDocument/2006/relationships/hyperlink" Target="https://www.youtube.com/watch?v=gQsiCXfinv4&amp;pp=ygUQam9hcXVlbWl4IHBob2Jvcw%3D%3D" TargetMode="External"/><Relationship Id="rId237" Type="http://schemas.openxmlformats.org/officeDocument/2006/relationships/hyperlink" Target="https://www.youtube.com/watch?v=tidIuwBTCbw&amp;ab_channel=Runnie" TargetMode="External"/><Relationship Id="rId358" Type="http://schemas.openxmlformats.org/officeDocument/2006/relationships/hyperlink" Target="https://www.youtube.com/watch?v=lBfCDS8W3Y4" TargetMode="External"/><Relationship Id="rId479" Type="http://schemas.openxmlformats.org/officeDocument/2006/relationships/hyperlink" Target="https://www.youtube.com/watch?v=0fiPEic1HEQ" TargetMode="External"/><Relationship Id="rId115" Type="http://schemas.openxmlformats.org/officeDocument/2006/relationships/hyperlink" Target="https://youtu.be/IoADgpzkGoI?si=KRz3pGFKR0TjCdyM" TargetMode="External"/><Relationship Id="rId236" Type="http://schemas.openxmlformats.org/officeDocument/2006/relationships/hyperlink" Target="https://www.youtube.com/watch?v=tE2iku_MIEM&amp;ab_channel=Facu28" TargetMode="External"/><Relationship Id="rId357" Type="http://schemas.openxmlformats.org/officeDocument/2006/relationships/hyperlink" Target="https://www.youtube.com/watch?v=2jJhnVKLmnU&amp;ab_channel=PoleEast" TargetMode="External"/><Relationship Id="rId478" Type="http://schemas.openxmlformats.org/officeDocument/2006/relationships/hyperlink" Target="https://www.youtube.com/watch?v=uq5V6VHND9c" TargetMode="External"/><Relationship Id="rId119" Type="http://schemas.openxmlformats.org/officeDocument/2006/relationships/hyperlink" Target="https://www.youtube.com/watch?v=fyhAaWA3rm8&amp;pp=wgIGCgQQAhgB" TargetMode="External"/><Relationship Id="rId110" Type="http://schemas.openxmlformats.org/officeDocument/2006/relationships/hyperlink" Target="https://www.youtube.com/watch?v=XN2K-TmFqrk" TargetMode="External"/><Relationship Id="rId231" Type="http://schemas.openxmlformats.org/officeDocument/2006/relationships/hyperlink" Target="https://www.youtube.com/watch?v=N6WNZyqIs2o" TargetMode="External"/><Relationship Id="rId352" Type="http://schemas.openxmlformats.org/officeDocument/2006/relationships/hyperlink" Target="https://youtu.be/mil_fB9Qso0" TargetMode="External"/><Relationship Id="rId473" Type="http://schemas.openxmlformats.org/officeDocument/2006/relationships/hyperlink" Target="https://www.youtube.com/watch?v=MfFl-PuN4B0&amp;ab_channel=Emilio10" TargetMode="External"/><Relationship Id="rId230" Type="http://schemas.openxmlformats.org/officeDocument/2006/relationships/hyperlink" Target="https://youtu.be/MHAvS5JgX_o" TargetMode="External"/><Relationship Id="rId351" Type="http://schemas.openxmlformats.org/officeDocument/2006/relationships/hyperlink" Target="https://www.youtube.com/watch?v=9WzEGDxLfFE" TargetMode="External"/><Relationship Id="rId472" Type="http://schemas.openxmlformats.org/officeDocument/2006/relationships/hyperlink" Target="https://www.youtube.com/watch?v=sWFY9PBVkAU&amp;ab_channel=ThaLion087" TargetMode="External"/><Relationship Id="rId350" Type="http://schemas.openxmlformats.org/officeDocument/2006/relationships/hyperlink" Target="https://www.youtube.com/watch?v=MnZ47Akoe6c" TargetMode="External"/><Relationship Id="rId471" Type="http://schemas.openxmlformats.org/officeDocument/2006/relationships/hyperlink" Target="https://www.youtube.com/watch?v=Hao6CjxPLaM&amp;pp=ygULSGFvNkNqeFBMYU0%3D" TargetMode="External"/><Relationship Id="rId470" Type="http://schemas.openxmlformats.org/officeDocument/2006/relationships/hyperlink" Target="https://youtu.be/oW-waB2cSfw" TargetMode="External"/><Relationship Id="rId114" Type="http://schemas.openxmlformats.org/officeDocument/2006/relationships/hyperlink" Target="https://www.youtube.com/watch?v=90Mda5OlhRA" TargetMode="External"/><Relationship Id="rId235" Type="http://schemas.openxmlformats.org/officeDocument/2006/relationships/hyperlink" Target="https://www.youtube.com/watch?v=mF5JHyBHFHU&amp;ab_channel=AndresBeltran" TargetMode="External"/><Relationship Id="rId356" Type="http://schemas.openxmlformats.org/officeDocument/2006/relationships/hyperlink" Target="https://www.youtube.com/watch?v=yHvsVPEwAHY&amp;ab_channel=Sickario" TargetMode="External"/><Relationship Id="rId477" Type="http://schemas.openxmlformats.org/officeDocument/2006/relationships/hyperlink" Target="https://www.youtube.com/watch?v=LmhAdX7ofZM" TargetMode="External"/><Relationship Id="rId113" Type="http://schemas.openxmlformats.org/officeDocument/2006/relationships/hyperlink" Target="https://www.youtube.com/watch?v=22epcyKIwmo" TargetMode="External"/><Relationship Id="rId234" Type="http://schemas.openxmlformats.org/officeDocument/2006/relationships/hyperlink" Target="https://www.youtube.com/watch?v=Q3trIxovt8s&amp;ab_channel=Redelekys" TargetMode="External"/><Relationship Id="rId355" Type="http://schemas.openxmlformats.org/officeDocument/2006/relationships/hyperlink" Target="https://www.youtube.com/watch?v=Ipg8DZzAL5Q" TargetMode="External"/><Relationship Id="rId476" Type="http://schemas.openxmlformats.org/officeDocument/2006/relationships/hyperlink" Target="https://www.youtube.com/watch?v=vFsT5FBpaI4" TargetMode="External"/><Relationship Id="rId112" Type="http://schemas.openxmlformats.org/officeDocument/2006/relationships/hyperlink" Target="https://www.twitch.tv/videos/2484506153?filter=all&amp;sort=time" TargetMode="External"/><Relationship Id="rId233" Type="http://schemas.openxmlformats.org/officeDocument/2006/relationships/hyperlink" Target="https://www.youtube.com/watch?v=bL79eyjruWY" TargetMode="External"/><Relationship Id="rId354" Type="http://schemas.openxmlformats.org/officeDocument/2006/relationships/hyperlink" Target="https://www.youtube.com/watch?v=E3ohv0euemM" TargetMode="External"/><Relationship Id="rId475" Type="http://schemas.openxmlformats.org/officeDocument/2006/relationships/hyperlink" Target="https://www.youtube.com/watch?v=xybd6cyKuVM&amp;t=2s&amp;pp=ygULeHliZDZjeUt1Vk0%3D" TargetMode="External"/><Relationship Id="rId111" Type="http://schemas.openxmlformats.org/officeDocument/2006/relationships/hyperlink" Target="https://youtu.be/uWLHoduSYAo" TargetMode="External"/><Relationship Id="rId232" Type="http://schemas.openxmlformats.org/officeDocument/2006/relationships/hyperlink" Target="https://www.youtube.com/watch?v=SK7C_3ZVli4" TargetMode="External"/><Relationship Id="rId353" Type="http://schemas.openxmlformats.org/officeDocument/2006/relationships/hyperlink" Target="http://www.youtube.com/watch?v=VoIoU8UzghY&amp;feature=youtu.be" TargetMode="External"/><Relationship Id="rId474" Type="http://schemas.openxmlformats.org/officeDocument/2006/relationships/hyperlink" Target="https://www.youtube.com/watch?v=qJvei03Ckqo&amp;pp=ygULcUp2ZWkwM0NrcW8%3D" TargetMode="External"/><Relationship Id="rId305" Type="http://schemas.openxmlformats.org/officeDocument/2006/relationships/hyperlink" Target="https://www.youtube.com/watch?v=v6zzbp-l8Xs" TargetMode="External"/><Relationship Id="rId426" Type="http://schemas.openxmlformats.org/officeDocument/2006/relationships/hyperlink" Target="https://youtu.be/DREvmnE9PIA?si=Q4ec8FMEIE0Rl70y" TargetMode="External"/><Relationship Id="rId304" Type="http://schemas.openxmlformats.org/officeDocument/2006/relationships/hyperlink" Target="https://www.youtube.com/watch?v=iMmOthiyrJM&amp;t=1s" TargetMode="External"/><Relationship Id="rId425" Type="http://schemas.openxmlformats.org/officeDocument/2006/relationships/hyperlink" Target="https://youtu.be/VUyzv6EadG4" TargetMode="External"/><Relationship Id="rId303" Type="http://schemas.openxmlformats.org/officeDocument/2006/relationships/hyperlink" Target="https://www.youtube.com/watch?v=txNY21NjQhM" TargetMode="External"/><Relationship Id="rId424" Type="http://schemas.openxmlformats.org/officeDocument/2006/relationships/hyperlink" Target="https://youtu.be/v4IzQcbzJhg?si=PbX5zP_rIrH7SbwP" TargetMode="External"/><Relationship Id="rId302" Type="http://schemas.openxmlformats.org/officeDocument/2006/relationships/hyperlink" Target="https://www.youtube.com/watch?v=g7jPGi-EThs" TargetMode="External"/><Relationship Id="rId423" Type="http://schemas.openxmlformats.org/officeDocument/2006/relationships/hyperlink" Target="https://www.youtube.com/watch?v=sbObXyi9JyQ" TargetMode="External"/><Relationship Id="rId309" Type="http://schemas.openxmlformats.org/officeDocument/2006/relationships/hyperlink" Target="https://youtu.be/tFxrjh6pUU0" TargetMode="External"/><Relationship Id="rId308" Type="http://schemas.openxmlformats.org/officeDocument/2006/relationships/hyperlink" Target="https://www.youtube.com/watch?v=ntnZJn_u-N4" TargetMode="External"/><Relationship Id="rId429" Type="http://schemas.openxmlformats.org/officeDocument/2006/relationships/hyperlink" Target="https://www.youtube.com/watch?v=K2tOJ8MLCkw" TargetMode="External"/><Relationship Id="rId307" Type="http://schemas.openxmlformats.org/officeDocument/2006/relationships/hyperlink" Target="https://www.youtube.com/watch?v=Fpe83L1lcog&amp;ab_channel=DoYouself" TargetMode="External"/><Relationship Id="rId428" Type="http://schemas.openxmlformats.org/officeDocument/2006/relationships/hyperlink" Target="https://youtu.be/FPQv77s-0xM" TargetMode="External"/><Relationship Id="rId306" Type="http://schemas.openxmlformats.org/officeDocument/2006/relationships/hyperlink" Target="https://youtu.be/mekiH1JqJKg" TargetMode="External"/><Relationship Id="rId427" Type="http://schemas.openxmlformats.org/officeDocument/2006/relationships/hyperlink" Target="https://youtu.be/Vnk2VdpT4sE?si=z2uoEOFJtxlQ1ZHt" TargetMode="External"/><Relationship Id="rId301" Type="http://schemas.openxmlformats.org/officeDocument/2006/relationships/hyperlink" Target="https://youtu.be/wwtuNm5M6ys?si=z_eRZQ7_eK3ajYLc" TargetMode="External"/><Relationship Id="rId422" Type="http://schemas.openxmlformats.org/officeDocument/2006/relationships/hyperlink" Target="https://www.youtube.com/watch?v=JbMESFAqTnQ" TargetMode="External"/><Relationship Id="rId300" Type="http://schemas.openxmlformats.org/officeDocument/2006/relationships/hyperlink" Target="https://medal.tv/es/games/geometry-dash/clips/jrT75AjeZMoYrW4Sk?invite=cr-MSxjdWIsMTc3OTcwOTg0LA" TargetMode="External"/><Relationship Id="rId421" Type="http://schemas.openxmlformats.org/officeDocument/2006/relationships/hyperlink" Target="https://www.youtube.com/watch?v=S52lec3wPeE" TargetMode="External"/><Relationship Id="rId420" Type="http://schemas.openxmlformats.org/officeDocument/2006/relationships/hyperlink" Target="https://www.youtube.com/watch?v=G43dg4Q6ogA" TargetMode="External"/><Relationship Id="rId415" Type="http://schemas.openxmlformats.org/officeDocument/2006/relationships/hyperlink" Target="https://www.youtube.com/watch?v=c2yp4tPOZlk" TargetMode="External"/><Relationship Id="rId414" Type="http://schemas.openxmlformats.org/officeDocument/2006/relationships/hyperlink" Target="https://streamable.com/s53sx3" TargetMode="External"/><Relationship Id="rId413" Type="http://schemas.openxmlformats.org/officeDocument/2006/relationships/hyperlink" Target="https://youtu.be/9Wk3DsFj6PU?si=SpqCCO4f9G8Pwht4" TargetMode="External"/><Relationship Id="rId412" Type="http://schemas.openxmlformats.org/officeDocument/2006/relationships/hyperlink" Target="https://youtu.be/8upgEyjot_Y" TargetMode="External"/><Relationship Id="rId419" Type="http://schemas.openxmlformats.org/officeDocument/2006/relationships/hyperlink" Target="https://www.youtube.com/watch?v=XIpSLILF9Bw" TargetMode="External"/><Relationship Id="rId418" Type="http://schemas.openxmlformats.org/officeDocument/2006/relationships/hyperlink" Target="https://www.youtube.com/watch?v=UTnFQSWaqE4&amp;ab_channel=%CF%80zza" TargetMode="External"/><Relationship Id="rId417" Type="http://schemas.openxmlformats.org/officeDocument/2006/relationships/hyperlink" Target="https://www.youtube.com/watch?v=TATcgzUUhdo" TargetMode="External"/><Relationship Id="rId416" Type="http://schemas.openxmlformats.org/officeDocument/2006/relationships/hyperlink" Target="https://www.youtube.com/watch?v=-XcZ9Lj2xxc" TargetMode="External"/><Relationship Id="rId411" Type="http://schemas.openxmlformats.org/officeDocument/2006/relationships/hyperlink" Target="https://www.youtube.com/watch?v=8Il19-7bfPc" TargetMode="External"/><Relationship Id="rId410" Type="http://schemas.openxmlformats.org/officeDocument/2006/relationships/hyperlink" Target="https://youtu.be/ZvNgFv0kWWc" TargetMode="External"/><Relationship Id="rId206" Type="http://schemas.openxmlformats.org/officeDocument/2006/relationships/hyperlink" Target="https://www.youtube.com/watch?v=hy0zT4GnL3U&amp;ab_channel=MaxinderGD" TargetMode="External"/><Relationship Id="rId327" Type="http://schemas.openxmlformats.org/officeDocument/2006/relationships/hyperlink" Target="https://www.youtube.com/watch?v=d5RYeJPP_38" TargetMode="External"/><Relationship Id="rId448" Type="http://schemas.openxmlformats.org/officeDocument/2006/relationships/hyperlink" Target="https://www.youtube.com/watch?v=nCLdACyqEgo" TargetMode="External"/><Relationship Id="rId205" Type="http://schemas.openxmlformats.org/officeDocument/2006/relationships/hyperlink" Target="https://www.youtube.com/watch?v=dR_tVc-mgo4&amp;ab_channel=Redelekys" TargetMode="External"/><Relationship Id="rId326" Type="http://schemas.openxmlformats.org/officeDocument/2006/relationships/hyperlink" Target="https://www.youtube.com/watch?v=Fvrk86Qmyok" TargetMode="External"/><Relationship Id="rId447" Type="http://schemas.openxmlformats.org/officeDocument/2006/relationships/hyperlink" Target="https://youtu.be/YCXv2AGH2es?si=Q7_qsnJPGTuAw1UL" TargetMode="External"/><Relationship Id="rId204" Type="http://schemas.openxmlformats.org/officeDocument/2006/relationships/hyperlink" Target="https://www.youtube.com/watch?v=95FYxZI1PnQ&amp;ab_channel=Sickario" TargetMode="External"/><Relationship Id="rId325" Type="http://schemas.openxmlformats.org/officeDocument/2006/relationships/hyperlink" Target="https://www.youtube.com/watch?v=yVubyeigNds" TargetMode="External"/><Relationship Id="rId446" Type="http://schemas.openxmlformats.org/officeDocument/2006/relationships/hyperlink" Target="https://youtu.be/voFMZM6THFI" TargetMode="External"/><Relationship Id="rId203" Type="http://schemas.openxmlformats.org/officeDocument/2006/relationships/hyperlink" Target="https://www.youtube.com/watch?v=iC0ow8xh4A4&amp;list=PLaVAu9oqIRsHZeXtddD8l0AF5UiiKb9Uh&amp;index=2&amp;ab_channel=Skyllz" TargetMode="External"/><Relationship Id="rId324" Type="http://schemas.openxmlformats.org/officeDocument/2006/relationships/hyperlink" Target="https://youtu.be/q1qy1ziW4zM" TargetMode="External"/><Relationship Id="rId445" Type="http://schemas.openxmlformats.org/officeDocument/2006/relationships/hyperlink" Target="https://www.youtube.com/watch?v=XQpIoqvP5dw" TargetMode="External"/><Relationship Id="rId209" Type="http://schemas.openxmlformats.org/officeDocument/2006/relationships/hyperlink" Target="https://youtu.be/8y9JMBwKCnc" TargetMode="External"/><Relationship Id="rId208" Type="http://schemas.openxmlformats.org/officeDocument/2006/relationships/hyperlink" Target="https://www.youtube.com/watch?v=3ngtONl7TJ8" TargetMode="External"/><Relationship Id="rId329" Type="http://schemas.openxmlformats.org/officeDocument/2006/relationships/hyperlink" Target="https://www.youtube.com/watch?v=2kBCFxLZj9w" TargetMode="External"/><Relationship Id="rId207" Type="http://schemas.openxmlformats.org/officeDocument/2006/relationships/hyperlink" Target="https://www.youtube.com/watch?v=b30uvqgApsY&amp;ab_channel=DoYouself" TargetMode="External"/><Relationship Id="rId328" Type="http://schemas.openxmlformats.org/officeDocument/2006/relationships/hyperlink" Target="https://www.youtube.com/watch?v=i1po6u66jH8" TargetMode="External"/><Relationship Id="rId449" Type="http://schemas.openxmlformats.org/officeDocument/2006/relationships/hyperlink" Target="https://www.youtube.com/watch?v=DkpynV8JikY&amp;ab_channel=DoYouself" TargetMode="External"/><Relationship Id="rId440" Type="http://schemas.openxmlformats.org/officeDocument/2006/relationships/hyperlink" Target="https://youtu.be/fAx4O7Lp1Mo" TargetMode="External"/><Relationship Id="rId202" Type="http://schemas.openxmlformats.org/officeDocument/2006/relationships/hyperlink" Target="https://youtu.be/6dkz9ong3Qk?si=crRxfk4lBovkhl8q" TargetMode="External"/><Relationship Id="rId323" Type="http://schemas.openxmlformats.org/officeDocument/2006/relationships/hyperlink" Target="https://www.youtube.com/watch?v=mdwpjMFQkdg" TargetMode="External"/><Relationship Id="rId444" Type="http://schemas.openxmlformats.org/officeDocument/2006/relationships/hyperlink" Target="https://youtu.be/LH1zem9e27Y" TargetMode="External"/><Relationship Id="rId201" Type="http://schemas.openxmlformats.org/officeDocument/2006/relationships/hyperlink" Target="https://www.youtube.com/watch?v=sKT21IfUWwM" TargetMode="External"/><Relationship Id="rId322" Type="http://schemas.openxmlformats.org/officeDocument/2006/relationships/hyperlink" Target="https://www.youtube.com/watch?v=jJiBmPEFMSY" TargetMode="External"/><Relationship Id="rId443" Type="http://schemas.openxmlformats.org/officeDocument/2006/relationships/hyperlink" Target="https://www.youtube.com/watch?v=XCOMQxEbFgg" TargetMode="External"/><Relationship Id="rId200" Type="http://schemas.openxmlformats.org/officeDocument/2006/relationships/hyperlink" Target="https://youtu.be/2Ej7wKRZUdI" TargetMode="External"/><Relationship Id="rId321" Type="http://schemas.openxmlformats.org/officeDocument/2006/relationships/hyperlink" Target="https://www.youtube.com/watch?v=AOrdMs8dqCY" TargetMode="External"/><Relationship Id="rId442" Type="http://schemas.openxmlformats.org/officeDocument/2006/relationships/hyperlink" Target="https://youtu.be/oXyHQaS6tyA" TargetMode="External"/><Relationship Id="rId320" Type="http://schemas.openxmlformats.org/officeDocument/2006/relationships/hyperlink" Target="https://youtu.be/pfLAYbrb2Ds" TargetMode="External"/><Relationship Id="rId441" Type="http://schemas.openxmlformats.org/officeDocument/2006/relationships/hyperlink" Target="https://www.youtube.com/watch?v=fD09__FctMc" TargetMode="External"/><Relationship Id="rId316" Type="http://schemas.openxmlformats.org/officeDocument/2006/relationships/hyperlink" Target="https://www.youtube.com/watch?v=HjM26Ugpl9s&amp;ab_channel=AndresBeltran" TargetMode="External"/><Relationship Id="rId437" Type="http://schemas.openxmlformats.org/officeDocument/2006/relationships/hyperlink" Target="https://youtu.be/wQ2UxVzZIEg" TargetMode="External"/><Relationship Id="rId315" Type="http://schemas.openxmlformats.org/officeDocument/2006/relationships/hyperlink" Target="https://www.youtube.com/watch?v=aDv74R-vels&amp;t=28s" TargetMode="External"/><Relationship Id="rId436" Type="http://schemas.openxmlformats.org/officeDocument/2006/relationships/hyperlink" Target="https://youtu.be/pq48kWUTigI" TargetMode="External"/><Relationship Id="rId314" Type="http://schemas.openxmlformats.org/officeDocument/2006/relationships/hyperlink" Target="https://youtu.be/AvB8T7kqmZY?si=qPLR3smcJXO9vbth" TargetMode="External"/><Relationship Id="rId435" Type="http://schemas.openxmlformats.org/officeDocument/2006/relationships/hyperlink" Target="https://www.youtube.com/watch?v=oA-D_SCKD1E&amp;ab_channel=DoYouself" TargetMode="External"/><Relationship Id="rId313" Type="http://schemas.openxmlformats.org/officeDocument/2006/relationships/hyperlink" Target="https://youtu.be/y13dVWFMjeQ" TargetMode="External"/><Relationship Id="rId434" Type="http://schemas.openxmlformats.org/officeDocument/2006/relationships/hyperlink" Target="https://www.youtube.com/watch?v=TVgEOS4UdDc&amp;ab_channel=zwesok" TargetMode="External"/><Relationship Id="rId319" Type="http://schemas.openxmlformats.org/officeDocument/2006/relationships/hyperlink" Target="https://www.youtube.com/watch?v=_ED-xxR-1qA&amp;ab_channel=Redelekys" TargetMode="External"/><Relationship Id="rId318" Type="http://schemas.openxmlformats.org/officeDocument/2006/relationships/hyperlink" Target="https://www.youtube.com/watch?v=7PUOixvm_ak&amp;ab_channel=%CF%80zza" TargetMode="External"/><Relationship Id="rId439" Type="http://schemas.openxmlformats.org/officeDocument/2006/relationships/hyperlink" Target="https://www.youtube.com/watch?v=5gGxqUu6xBw" TargetMode="External"/><Relationship Id="rId317" Type="http://schemas.openxmlformats.org/officeDocument/2006/relationships/hyperlink" Target="https://www.youtube.com/watch?v=DSa2ZTLsN1M&amp;ab_channel=Sickario" TargetMode="External"/><Relationship Id="rId438" Type="http://schemas.openxmlformats.org/officeDocument/2006/relationships/hyperlink" Target="https://youtu.be/UYscvre-YZs" TargetMode="External"/><Relationship Id="rId312" Type="http://schemas.openxmlformats.org/officeDocument/2006/relationships/hyperlink" Target="https://www.youtube.com/watch?v=vjpl3FeLyYY" TargetMode="External"/><Relationship Id="rId433" Type="http://schemas.openxmlformats.org/officeDocument/2006/relationships/hyperlink" Target="https://www.youtube.com/watch?v=xEYF0tpFLhs&amp;ab_channel=Redelekys" TargetMode="External"/><Relationship Id="rId311" Type="http://schemas.openxmlformats.org/officeDocument/2006/relationships/hyperlink" Target="https://youtu.be/u_MEEaVQEFM?si=9TTqcgv4mzWaiap5" TargetMode="External"/><Relationship Id="rId432" Type="http://schemas.openxmlformats.org/officeDocument/2006/relationships/hyperlink" Target="https://www.youtube.com/watch?v=S7IcMO3AWT4" TargetMode="External"/><Relationship Id="rId310" Type="http://schemas.openxmlformats.org/officeDocument/2006/relationships/hyperlink" Target="https://www.youtube.com/watch?v=Xz2DJ19gm9U" TargetMode="External"/><Relationship Id="rId431" Type="http://schemas.openxmlformats.org/officeDocument/2006/relationships/hyperlink" Target="https://www.youtube.com/watch?v=8SbW8rkxyBs" TargetMode="External"/><Relationship Id="rId430" Type="http://schemas.openxmlformats.org/officeDocument/2006/relationships/hyperlink" Target="https://youtu.be/Yw0MnqXb1J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</row>
    <row r="2">
      <c r="A2" s="6" t="s">
        <v>4</v>
      </c>
      <c r="B2" s="4">
        <f>IFERROR(__xludf.DUMMYFUNCTION("IMPORTRANGE(""https://docs.google.com/spreadsheets/d/13zDiYSWN14dhBU8OxlbATFo4qBXba3m2YDRZbxsxouQ/edit?gid=0#gid=0"", ""CA165"")"),83.0)</f>
        <v>83</v>
      </c>
      <c r="C2" s="7" t="s">
        <v>5</v>
      </c>
      <c r="D2" s="8">
        <v>1.0</v>
      </c>
      <c r="E2" s="9" t="s">
        <v>6</v>
      </c>
      <c r="F2" s="10"/>
      <c r="G2" s="9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6" t="s">
        <v>7</v>
      </c>
      <c r="B3" s="4">
        <f>IFERROR(__xludf.DUMMYFUNCTION("IMPORTRANGE(""https://docs.google.com/spreadsheets/d/13zDiYSWN14dhBU8OxlbATFo4qBXba3m2YDRZbxsxouQ/edit?gid=0#gid=0"", ""CA149"")"),134.0)</f>
        <v>134</v>
      </c>
      <c r="C3" s="12" t="s">
        <v>8</v>
      </c>
      <c r="D3" s="8">
        <v>1.0</v>
      </c>
      <c r="E3" s="9" t="s">
        <v>6</v>
      </c>
      <c r="F3" s="10"/>
      <c r="G3" s="9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6" t="s">
        <v>9</v>
      </c>
      <c r="B4" s="4">
        <f>IFERROR(__xludf.DUMMYFUNCTION("IMPORTRANGE(""https://docs.google.com/spreadsheets/d/13zDiYSWN14dhBU8OxlbATFo4qBXba3m2YDRZbxsxouQ/edit?gid=0#gid=0"", ""CA166"")"),149.0)</f>
        <v>149</v>
      </c>
      <c r="C4" s="13" t="s">
        <v>10</v>
      </c>
      <c r="D4" s="8">
        <v>1.0</v>
      </c>
      <c r="E4" s="9" t="s">
        <v>11</v>
      </c>
      <c r="F4" s="10"/>
      <c r="G4" s="9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6" t="s">
        <v>12</v>
      </c>
      <c r="B5" s="4">
        <f>IFERROR(__xludf.DUMMYFUNCTION("IMPORTRANGE(""https://docs.google.com/spreadsheets/d/13zDiYSWN14dhBU8OxlbATFo4qBXba3m2YDRZbxsxouQ/edit?gid=0#gid=0"", ""CA2"")"),152.0)</f>
        <v>152</v>
      </c>
      <c r="C5" s="13" t="s">
        <v>10</v>
      </c>
      <c r="D5" s="8">
        <v>1.0</v>
      </c>
      <c r="E5" s="9" t="s">
        <v>13</v>
      </c>
      <c r="F5" s="10"/>
      <c r="G5" s="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6" t="s">
        <v>14</v>
      </c>
      <c r="B6" s="4">
        <f>IFERROR(__xludf.DUMMYFUNCTION("IMPORTRANGE(""https://docs.google.com/spreadsheets/d/13zDiYSWN14dhBU8OxlbATFo4qBXba3m2YDRZbxsxouQ/edit?gid=0#gid=0"", ""CA108"")"),160.0)</f>
        <v>160</v>
      </c>
      <c r="C6" s="13" t="s">
        <v>10</v>
      </c>
      <c r="D6" s="8">
        <v>1.0</v>
      </c>
      <c r="E6" s="9" t="s">
        <v>15</v>
      </c>
      <c r="F6" s="14"/>
      <c r="G6" s="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6" t="s">
        <v>16</v>
      </c>
      <c r="B7" s="4">
        <f>IFERROR(__xludf.DUMMYFUNCTION("IMPORTRANGE(""https://docs.google.com/spreadsheets/d/13zDiYSWN14dhBU8OxlbATFo4qBXba3m2YDRZbxsxouQ/edit?gid=0#gid=0"", ""CA138"")"),174.0)</f>
        <v>174</v>
      </c>
      <c r="C7" s="13" t="s">
        <v>10</v>
      </c>
      <c r="D7" s="8">
        <v>1.0</v>
      </c>
      <c r="E7" s="9" t="s">
        <v>6</v>
      </c>
      <c r="F7" s="14"/>
      <c r="G7" s="9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6" t="s">
        <v>17</v>
      </c>
      <c r="B8" s="4">
        <f>IFERROR(__xludf.DUMMYFUNCTION("IMPORTRANGE(""https://docs.google.com/spreadsheets/d/13zDiYSWN14dhBU8OxlbATFo4qBXba3m2YDRZbxsxouQ/edit?gid=0#gid=0"", ""CA3"")"),186.0)</f>
        <v>186</v>
      </c>
      <c r="C8" s="15" t="s">
        <v>18</v>
      </c>
      <c r="D8" s="8">
        <v>1.0</v>
      </c>
      <c r="E8" s="16" t="s">
        <v>13</v>
      </c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6" t="s">
        <v>19</v>
      </c>
      <c r="B9" s="4">
        <f>IFERROR(__xludf.DUMMYFUNCTION("IMPORTRANGE(""https://docs.google.com/spreadsheets/d/13zDiYSWN14dhBU8OxlbATFo4qBXba3m2YDRZbxsxouQ/edit?gid=0#gid=0"", ""CA4"")"),192.0)</f>
        <v>192</v>
      </c>
      <c r="C9" s="17" t="s">
        <v>20</v>
      </c>
      <c r="D9" s="8">
        <v>1.0</v>
      </c>
      <c r="E9" s="9" t="s">
        <v>21</v>
      </c>
      <c r="F9" s="10"/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6" t="s">
        <v>22</v>
      </c>
      <c r="B10" s="4">
        <f>IFERROR(__xludf.DUMMYFUNCTION("IMPORTRANGE(""https://docs.google.com/spreadsheets/d/13zDiYSWN14dhBU8OxlbATFo4qBXba3m2YDRZbxsxouQ/edit?gid=0#gid=0"", ""CA5"")"),216.0)</f>
        <v>216</v>
      </c>
      <c r="C10" s="15" t="s">
        <v>18</v>
      </c>
      <c r="D10" s="8">
        <v>2.0</v>
      </c>
      <c r="E10" s="9" t="s">
        <v>23</v>
      </c>
      <c r="F10" s="18" t="s">
        <v>6</v>
      </c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6" t="s">
        <v>24</v>
      </c>
      <c r="B11" s="4">
        <f>IFERROR(__xludf.DUMMYFUNCTION("IMPORTRANGE(""https://docs.google.com/spreadsheets/d/13zDiYSWN14dhBU8OxlbATFo4qBXba3m2YDRZbxsxouQ/edit?gid=0#gid=0"", ""CA133"")"),227.0)</f>
        <v>227</v>
      </c>
      <c r="C11" s="19" t="s">
        <v>25</v>
      </c>
      <c r="D11" s="8">
        <v>2.0</v>
      </c>
      <c r="E11" s="9" t="s">
        <v>26</v>
      </c>
      <c r="F11" s="18" t="s">
        <v>27</v>
      </c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6" t="s">
        <v>28</v>
      </c>
      <c r="B12" s="4">
        <f>IFERROR(__xludf.DUMMYFUNCTION("IMPORTRANGE(""https://docs.google.com/spreadsheets/d/13zDiYSWN14dhBU8OxlbATFo4qBXba3m2YDRZbxsxouQ/edit?gid=0#gid=0"", ""CA119"")"),233.0)</f>
        <v>233</v>
      </c>
      <c r="C12" s="19" t="s">
        <v>25</v>
      </c>
      <c r="D12" s="8">
        <v>2.0</v>
      </c>
      <c r="E12" s="9" t="s">
        <v>29</v>
      </c>
      <c r="F12" s="18" t="s">
        <v>30</v>
      </c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6" t="s">
        <v>31</v>
      </c>
      <c r="B13" s="4">
        <f>IFERROR(__xludf.DUMMYFUNCTION("IMPORTRANGE(""https://docs.google.com/spreadsheets/d/13zDiYSWN14dhBU8OxlbATFo4qBXba3m2YDRZbxsxouQ/edit?gid=0#gid=0"", ""CA176"")"),241.0)</f>
        <v>241</v>
      </c>
      <c r="C13" s="19" t="s">
        <v>25</v>
      </c>
      <c r="D13" s="8">
        <v>1.0</v>
      </c>
      <c r="E13" s="9" t="s">
        <v>32</v>
      </c>
      <c r="F13" s="10"/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6" t="s">
        <v>33</v>
      </c>
      <c r="B14" s="4">
        <f>IFERROR(__xludf.DUMMYFUNCTION("IMPORTRANGE(""https://docs.google.com/spreadsheets/d/13zDiYSWN14dhBU8OxlbATFo4qBXba3m2YDRZbxsxouQ/edit?gid=0#gid=0"", ""CA6"")"),268.0)</f>
        <v>268</v>
      </c>
      <c r="C14" s="19" t="s">
        <v>25</v>
      </c>
      <c r="D14" s="8">
        <v>3.0</v>
      </c>
      <c r="E14" s="9" t="s">
        <v>34</v>
      </c>
      <c r="F14" s="10" t="s">
        <v>11</v>
      </c>
      <c r="G14" s="20" t="s">
        <v>23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6" t="s">
        <v>35</v>
      </c>
      <c r="B15" s="4">
        <f>IFERROR(__xludf.DUMMYFUNCTION("IMPORTRANGE(""https://docs.google.com/spreadsheets/d/13zDiYSWN14dhBU8OxlbATFo4qBXba3m2YDRZbxsxouQ/edit?gid=0#gid=0"", ""CA135"")"),317.0)</f>
        <v>317</v>
      </c>
      <c r="C15" s="21" t="s">
        <v>36</v>
      </c>
      <c r="D15" s="4">
        <v>4.0</v>
      </c>
      <c r="E15" s="22" t="s">
        <v>37</v>
      </c>
      <c r="F15" s="20" t="s">
        <v>38</v>
      </c>
      <c r="G15" s="20" t="s">
        <v>32</v>
      </c>
      <c r="H15" s="20" t="s">
        <v>39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6" t="s">
        <v>40</v>
      </c>
      <c r="B16" s="4">
        <f>IFERROR(__xludf.DUMMYFUNCTION("IMPORTRANGE(""https://docs.google.com/spreadsheets/d/13zDiYSWN14dhBU8OxlbATFo4qBXba3m2YDRZbxsxouQ/edit?gid=0#gid=0"", ""CA7"")"),332.0)</f>
        <v>332</v>
      </c>
      <c r="C16" s="23" t="s">
        <v>41</v>
      </c>
      <c r="D16" s="4">
        <v>3.0</v>
      </c>
      <c r="E16" s="22" t="s">
        <v>42</v>
      </c>
      <c r="F16" s="20" t="s">
        <v>6</v>
      </c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6" t="s">
        <v>43</v>
      </c>
      <c r="B17" s="4">
        <f>IFERROR(__xludf.DUMMYFUNCTION("IMPORTRANGE(""https://docs.google.com/spreadsheets/d/13zDiYSWN14dhBU8OxlbATFo4qBXba3m2YDRZbxsxouQ/edit?gid=0#gid=0"", ""CA8"")"),333.0)</f>
        <v>333</v>
      </c>
      <c r="C17" s="23" t="s">
        <v>41</v>
      </c>
      <c r="D17" s="8">
        <v>6.0</v>
      </c>
      <c r="E17" s="9" t="s">
        <v>34</v>
      </c>
      <c r="F17" s="20" t="s">
        <v>23</v>
      </c>
      <c r="G17" s="20" t="s">
        <v>15</v>
      </c>
      <c r="H17" s="20" t="s">
        <v>6</v>
      </c>
      <c r="I17" s="20" t="s">
        <v>44</v>
      </c>
      <c r="J17" s="20" t="s">
        <v>13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6" t="s">
        <v>45</v>
      </c>
      <c r="B18" s="4">
        <f>IFERROR(__xludf.DUMMYFUNCTION("IMPORTRANGE(""https://docs.google.com/spreadsheets/d/13zDiYSWN14dhBU8OxlbATFo4qBXba3m2YDRZbxsxouQ/edit?gid=0#gid=0"", ""CA9"")"),342.0)</f>
        <v>342</v>
      </c>
      <c r="C18" s="23" t="s">
        <v>41</v>
      </c>
      <c r="D18" s="4">
        <v>2.0</v>
      </c>
      <c r="E18" s="22" t="s">
        <v>23</v>
      </c>
      <c r="F18" s="20" t="s">
        <v>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6" t="s">
        <v>46</v>
      </c>
      <c r="B19" s="4">
        <f>IFERROR(__xludf.DUMMYFUNCTION("IMPORTRANGE(""https://docs.google.com/spreadsheets/d/13zDiYSWN14dhBU8OxlbATFo4qBXba3m2YDRZbxsxouQ/edit?gid=0#gid=0"", ""CA10"")"),356.0)</f>
        <v>356</v>
      </c>
      <c r="C19" s="23" t="s">
        <v>41</v>
      </c>
      <c r="D19" s="4">
        <v>1.0</v>
      </c>
      <c r="E19" s="22" t="s">
        <v>13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6" t="s">
        <v>47</v>
      </c>
      <c r="B20" s="4">
        <f>IFERROR(__xludf.DUMMYFUNCTION("IMPORTRANGE(""https://docs.google.com/spreadsheets/d/13zDiYSWN14dhBU8OxlbATFo4qBXba3m2YDRZbxsxouQ/edit?gid=0#gid=0"", ""CA177"")"),363.0)</f>
        <v>363</v>
      </c>
      <c r="C20" s="23" t="s">
        <v>41</v>
      </c>
      <c r="D20" s="4">
        <v>1.0</v>
      </c>
      <c r="E20" s="22" t="s">
        <v>37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6" t="s">
        <v>48</v>
      </c>
      <c r="B21" s="4">
        <f>IFERROR(__xludf.DUMMYFUNCTION("IMPORTRANGE(""https://docs.google.com/spreadsheets/d/13zDiYSWN14dhBU8OxlbATFo4qBXba3m2YDRZbxsxouQ/edit?gid=0#gid=0"", ""CA11"")"),376.0)</f>
        <v>376</v>
      </c>
      <c r="C21" s="23" t="s">
        <v>41</v>
      </c>
      <c r="D21" s="4">
        <v>1.0</v>
      </c>
      <c r="E21" s="22" t="s">
        <v>27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6" t="s">
        <v>49</v>
      </c>
      <c r="B22" s="4">
        <f>IFERROR(__xludf.DUMMYFUNCTION("IMPORTRANGE(""https://docs.google.com/spreadsheets/d/13zDiYSWN14dhBU8OxlbATFo4qBXba3m2YDRZbxsxouQ/edit?gid=0#gid=0"", ""CA12"")"),378.0)</f>
        <v>378</v>
      </c>
      <c r="C22" s="23" t="s">
        <v>41</v>
      </c>
      <c r="D22" s="4">
        <v>2.0</v>
      </c>
      <c r="E22" s="22" t="s">
        <v>23</v>
      </c>
      <c r="F22" s="20" t="s">
        <v>6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6" t="s">
        <v>50</v>
      </c>
      <c r="B23" s="4">
        <f>IFERROR(__xludf.DUMMYFUNCTION("IMPORTRANGE(""https://docs.google.com/spreadsheets/d/13zDiYSWN14dhBU8OxlbATFo4qBXba3m2YDRZbxsxouQ/edit?gid=0#gid=0"", ""CA14"")"),404.0)</f>
        <v>404</v>
      </c>
      <c r="C23" s="23" t="s">
        <v>41</v>
      </c>
      <c r="D23" s="4">
        <v>1.0</v>
      </c>
      <c r="E23" s="22" t="s">
        <v>51</v>
      </c>
      <c r="F23" s="22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6" t="s">
        <v>52</v>
      </c>
      <c r="B24" s="4">
        <f>IFERROR(__xludf.DUMMYFUNCTION("IMPORTRANGE(""https://docs.google.com/spreadsheets/d/13zDiYSWN14dhBU8OxlbATFo4qBXba3m2YDRZbxsxouQ/edit?gid=0#gid=0"", ""CA15"")"),435.0)</f>
        <v>435</v>
      </c>
      <c r="C24" s="24" t="s">
        <v>53</v>
      </c>
      <c r="D24" s="4">
        <v>3.0</v>
      </c>
      <c r="E24" s="22" t="s">
        <v>37</v>
      </c>
      <c r="F24" s="20" t="s">
        <v>51</v>
      </c>
      <c r="G24" s="20" t="s">
        <v>6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6" t="s">
        <v>54</v>
      </c>
      <c r="B25" s="4">
        <f>IFERROR(__xludf.DUMMYFUNCTION("IMPORTRANGE(""https://docs.google.com/spreadsheets/d/13zDiYSWN14dhBU8OxlbATFo4qBXba3m2YDRZbxsxouQ/edit?gid=0#gid=0"", ""CA16"")"),436.0)</f>
        <v>436</v>
      </c>
      <c r="C25" s="24" t="s">
        <v>53</v>
      </c>
      <c r="D25" s="4">
        <v>1.0</v>
      </c>
      <c r="E25" s="22" t="s">
        <v>55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6" t="s">
        <v>56</v>
      </c>
      <c r="B26" s="4">
        <f>IFERROR(__xludf.DUMMYFUNCTION("IMPORTRANGE(""https://docs.google.com/spreadsheets/d/13zDiYSWN14dhBU8OxlbATFo4qBXba3m2YDRZbxsxouQ/edit?gid=0#gid=0"", ""CA18"")"),438.0)</f>
        <v>438</v>
      </c>
      <c r="C26" s="24" t="s">
        <v>53</v>
      </c>
      <c r="D26" s="4">
        <v>1.0</v>
      </c>
      <c r="E26" s="22" t="s">
        <v>34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6" t="s">
        <v>57</v>
      </c>
      <c r="B27" s="4">
        <f>IFERROR(__xludf.DUMMYFUNCTION("IMPORTRANGE(""https://docs.google.com/spreadsheets/d/13zDiYSWN14dhBU8OxlbATFo4qBXba3m2YDRZbxsxouQ/edit?gid=0#gid=0"", ""CA163"")"),444.0)</f>
        <v>444</v>
      </c>
      <c r="C27" s="24" t="s">
        <v>53</v>
      </c>
      <c r="D27" s="4">
        <v>1.0</v>
      </c>
      <c r="E27" s="22" t="s">
        <v>58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6" t="s">
        <v>59</v>
      </c>
      <c r="B28" s="4">
        <f>IFERROR(__xludf.DUMMYFUNCTION("IMPORTRANGE(""https://docs.google.com/spreadsheets/d/13zDiYSWN14dhBU8OxlbATFo4qBXba3m2YDRZbxsxouQ/edit?gid=0#gid=0"", ""CA20"")"),460.0)</f>
        <v>460</v>
      </c>
      <c r="C28" s="24" t="s">
        <v>53</v>
      </c>
      <c r="D28" s="4">
        <v>1.0</v>
      </c>
      <c r="E28" s="22" t="s">
        <v>60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6" t="s">
        <v>61</v>
      </c>
      <c r="B29" s="4">
        <f>IFERROR(__xludf.DUMMYFUNCTION("IMPORTRANGE(""https://docs.google.com/spreadsheets/d/13zDiYSWN14dhBU8OxlbATFo4qBXba3m2YDRZbxsxouQ/edit?gid=0#gid=0"", ""CA19"")"),464.0)</f>
        <v>464</v>
      </c>
      <c r="C29" s="24" t="s">
        <v>53</v>
      </c>
      <c r="D29" s="4">
        <v>2.0</v>
      </c>
      <c r="E29" s="22" t="s">
        <v>62</v>
      </c>
      <c r="F29" s="9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6" t="s">
        <v>63</v>
      </c>
      <c r="B30" s="4">
        <f>IFERROR(__xludf.DUMMYFUNCTION("IMPORTRANGE(""https://docs.google.com/spreadsheets/d/13zDiYSWN14dhBU8OxlbATFo4qBXba3m2YDRZbxsxouQ/edit?gid=0#gid=0"", ""CA21"")"),467.0)</f>
        <v>467</v>
      </c>
      <c r="C30" s="24" t="s">
        <v>53</v>
      </c>
      <c r="D30" s="8">
        <v>5.0</v>
      </c>
      <c r="E30" s="9" t="s">
        <v>62</v>
      </c>
      <c r="F30" s="10" t="s">
        <v>34</v>
      </c>
      <c r="G30" s="20" t="s">
        <v>51</v>
      </c>
      <c r="H30" s="20" t="s">
        <v>64</v>
      </c>
      <c r="I30" s="20" t="s">
        <v>30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6" t="s">
        <v>65</v>
      </c>
      <c r="B31" s="4">
        <f>IFERROR(__xludf.DUMMYFUNCTION("IMPORTRANGE(""https://docs.google.com/spreadsheets/d/13zDiYSWN14dhBU8OxlbATFo4qBXba3m2YDRZbxsxouQ/edit?gid=0#gid=0"", ""CA24"")"),486.0)</f>
        <v>486</v>
      </c>
      <c r="C31" s="25" t="s">
        <v>66</v>
      </c>
      <c r="D31" s="4">
        <v>1.0</v>
      </c>
      <c r="E31" s="22" t="s">
        <v>34</v>
      </c>
      <c r="F31" s="9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6" t="s">
        <v>67</v>
      </c>
      <c r="B32" s="4">
        <f>IFERROR(__xludf.DUMMYFUNCTION("IMPORTRANGE(""https://docs.google.com/spreadsheets/d/13zDiYSWN14dhBU8OxlbATFo4qBXba3m2YDRZbxsxouQ/edit?gid=0#gid=0"", ""CA17"")"),498.0)</f>
        <v>498</v>
      </c>
      <c r="C32" s="25" t="s">
        <v>66</v>
      </c>
      <c r="D32" s="4">
        <v>1.0</v>
      </c>
      <c r="E32" s="22" t="s">
        <v>42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6" t="s">
        <v>68</v>
      </c>
      <c r="B33" s="4">
        <f>IFERROR(__xludf.DUMMYFUNCTION("IMPORTRANGE(""https://docs.google.com/spreadsheets/d/13zDiYSWN14dhBU8OxlbATFo4qBXba3m2YDRZbxsxouQ/edit?gid=0#gid=0"", ""CA22"")"),499.0)</f>
        <v>499</v>
      </c>
      <c r="C33" s="25" t="s">
        <v>66</v>
      </c>
      <c r="D33" s="8">
        <v>6.0</v>
      </c>
      <c r="E33" s="9" t="s">
        <v>55</v>
      </c>
      <c r="F33" s="20" t="s">
        <v>23</v>
      </c>
      <c r="G33" s="20" t="s">
        <v>13</v>
      </c>
      <c r="H33" s="20" t="s">
        <v>64</v>
      </c>
      <c r="I33" s="20" t="s">
        <v>11</v>
      </c>
      <c r="J33" s="20" t="s">
        <v>30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6" t="s">
        <v>69</v>
      </c>
      <c r="B34" s="4">
        <f>IFERROR(__xludf.DUMMYFUNCTION("IMPORTRANGE(""https://docs.google.com/spreadsheets/d/13zDiYSWN14dhBU8OxlbATFo4qBXba3m2YDRZbxsxouQ/edit?gid=0#gid=0"", ""CA23"")"),504.0)</f>
        <v>504</v>
      </c>
      <c r="C34" s="25" t="s">
        <v>66</v>
      </c>
      <c r="D34" s="8">
        <v>5.0</v>
      </c>
      <c r="E34" s="9" t="s">
        <v>42</v>
      </c>
      <c r="F34" s="20" t="s">
        <v>27</v>
      </c>
      <c r="G34" s="20" t="s">
        <v>70</v>
      </c>
      <c r="H34" s="20" t="s">
        <v>26</v>
      </c>
      <c r="I34" s="20" t="s">
        <v>6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6" t="s">
        <v>71</v>
      </c>
      <c r="B35" s="4">
        <f>IFERROR(__xludf.DUMMYFUNCTION("IMPORTRANGE(""https://docs.google.com/spreadsheets/d/13zDiYSWN14dhBU8OxlbATFo4qBXba3m2YDRZbxsxouQ/edit?gid=0#gid=0"", ""CA171"")"),508.0)</f>
        <v>508</v>
      </c>
      <c r="C35" s="25" t="s">
        <v>66</v>
      </c>
      <c r="D35" s="4">
        <v>1.0</v>
      </c>
      <c r="E35" s="22" t="s">
        <v>11</v>
      </c>
      <c r="F35" s="9"/>
      <c r="G35" s="26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6" t="s">
        <v>72</v>
      </c>
      <c r="B36" s="4">
        <f>IFERROR(__xludf.DUMMYFUNCTION("IMPORTRANGE(""https://docs.google.com/spreadsheets/d/13zDiYSWN14dhBU8OxlbATFo4qBXba3m2YDRZbxsxouQ/edit?gid=0#gid=0"", ""CA25"")"),517.0)</f>
        <v>517</v>
      </c>
      <c r="C36" s="25" t="s">
        <v>66</v>
      </c>
      <c r="D36" s="4">
        <v>3.0</v>
      </c>
      <c r="E36" s="22" t="s">
        <v>42</v>
      </c>
      <c r="F36" s="20" t="s">
        <v>6</v>
      </c>
      <c r="G36" s="6" t="s">
        <v>73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6" t="s">
        <v>74</v>
      </c>
      <c r="B37" s="4">
        <f>IFERROR(__xludf.DUMMYFUNCTION("IMPORTRANGE(""https://docs.google.com/spreadsheets/d/13zDiYSWN14dhBU8OxlbATFo4qBXba3m2YDRZbxsxouQ/edit?gid=0#gid=0"", ""CA129"")"),528.0)</f>
        <v>528</v>
      </c>
      <c r="C37" s="25" t="s">
        <v>66</v>
      </c>
      <c r="D37" s="4">
        <v>1.0</v>
      </c>
      <c r="E37" s="5" t="s">
        <v>6</v>
      </c>
    </row>
    <row r="38">
      <c r="A38" s="6" t="s">
        <v>75</v>
      </c>
      <c r="B38" s="4">
        <f>IFERROR(__xludf.DUMMYFUNCTION("IMPORTRANGE(""https://docs.google.com/spreadsheets/d/13zDiYSWN14dhBU8OxlbATFo4qBXba3m2YDRZbxsxouQ/edit?gid=0#gid=0"", ""CA26"")"),546.0)</f>
        <v>546</v>
      </c>
      <c r="C38" s="25" t="s">
        <v>66</v>
      </c>
      <c r="D38" s="4">
        <v>1.0</v>
      </c>
      <c r="E38" s="5" t="s">
        <v>21</v>
      </c>
    </row>
    <row r="39">
      <c r="A39" s="6" t="s">
        <v>76</v>
      </c>
      <c r="B39" s="4">
        <f>IFERROR(__xludf.DUMMYFUNCTION("IMPORTRANGE(""https://docs.google.com/spreadsheets/d/13zDiYSWN14dhBU8OxlbATFo4qBXba3m2YDRZbxsxouQ/edit?gid=0#gid=0"", ""CA143"")"),558.0)</f>
        <v>558</v>
      </c>
      <c r="C39" s="25" t="s">
        <v>66</v>
      </c>
      <c r="D39" s="4">
        <v>1.0</v>
      </c>
      <c r="E39" s="22" t="s">
        <v>11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6" t="s">
        <v>77</v>
      </c>
      <c r="B40" s="4">
        <f>IFERROR(__xludf.DUMMYFUNCTION("IMPORTRANGE(""https://docs.google.com/spreadsheets/d/13zDiYSWN14dhBU8OxlbATFo4qBXba3m2YDRZbxsxouQ/edit?gid=0#gid=0"", ""CA27"")"),571.0)</f>
        <v>571</v>
      </c>
      <c r="C40" s="25" t="s">
        <v>66</v>
      </c>
      <c r="D40" s="8">
        <v>9.0</v>
      </c>
      <c r="E40" s="9" t="s">
        <v>34</v>
      </c>
      <c r="F40" s="20" t="s">
        <v>11</v>
      </c>
      <c r="G40" s="20" t="s">
        <v>15</v>
      </c>
      <c r="H40" s="20" t="s">
        <v>51</v>
      </c>
      <c r="I40" s="20" t="s">
        <v>78</v>
      </c>
      <c r="J40" s="20" t="s">
        <v>44</v>
      </c>
      <c r="K40" s="20" t="s">
        <v>6</v>
      </c>
      <c r="L40" s="20" t="s">
        <v>79</v>
      </c>
      <c r="M40" s="20" t="s">
        <v>13</v>
      </c>
      <c r="O40" s="11"/>
      <c r="P40" s="11"/>
      <c r="Q40" s="11"/>
      <c r="R40" s="11"/>
      <c r="S40" s="11"/>
      <c r="T40" s="11"/>
      <c r="U40" s="11"/>
      <c r="V40" s="11"/>
    </row>
    <row r="41">
      <c r="A41" s="6" t="s">
        <v>80</v>
      </c>
      <c r="B41" s="4">
        <f>IFERROR(__xludf.DUMMYFUNCTION("IMPORTRANGE(""https://docs.google.com/spreadsheets/d/13zDiYSWN14dhBU8OxlbATFo4qBXba3m2YDRZbxsxouQ/edit?gid=0#gid=0"", ""CA29"")"),578.0)</f>
        <v>578</v>
      </c>
      <c r="C41" s="25" t="s">
        <v>66</v>
      </c>
      <c r="D41" s="4">
        <v>1.0</v>
      </c>
      <c r="E41" s="22" t="s">
        <v>34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6" t="s">
        <v>81</v>
      </c>
      <c r="B42" s="4">
        <f>IFERROR(__xludf.DUMMYFUNCTION("IMPORTRANGE(""https://docs.google.com/spreadsheets/d/13zDiYSWN14dhBU8OxlbATFo4qBXba3m2YDRZbxsxouQ/edit?gid=0#gid=0"", ""CA28"")"),581.0)</f>
        <v>581</v>
      </c>
      <c r="C42" s="25" t="s">
        <v>66</v>
      </c>
      <c r="D42" s="4">
        <v>1.0</v>
      </c>
      <c r="E42" s="22" t="s">
        <v>37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6" t="s">
        <v>82</v>
      </c>
      <c r="B43" s="4">
        <f>IFERROR(__xludf.DUMMYFUNCTION("IMPORTRANGE(""https://docs.google.com/spreadsheets/d/13zDiYSWN14dhBU8OxlbATFo4qBXba3m2YDRZbxsxouQ/edit?gid=0#gid=0"", ""CA146"")"),583.0)</f>
        <v>583</v>
      </c>
      <c r="C43" s="27" t="s">
        <v>83</v>
      </c>
      <c r="D43" s="4">
        <v>1.0</v>
      </c>
      <c r="E43" s="22" t="s">
        <v>26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6" t="s">
        <v>84</v>
      </c>
      <c r="B44" s="4">
        <f>IFERROR(__xludf.DUMMYFUNCTION("IMPORTRANGE(""https://docs.google.com/spreadsheets/d/13zDiYSWN14dhBU8OxlbATFo4qBXba3m2YDRZbxsxouQ/edit?gid=0#gid=0"", ""CA30"")"),585.0)</f>
        <v>585</v>
      </c>
      <c r="C44" s="27" t="s">
        <v>83</v>
      </c>
      <c r="D44" s="4">
        <v>2.0</v>
      </c>
      <c r="E44" s="22" t="s">
        <v>34</v>
      </c>
      <c r="F44" s="20" t="s">
        <v>27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6" t="s">
        <v>85</v>
      </c>
      <c r="B45" s="4">
        <f>IFERROR(__xludf.DUMMYFUNCTION("IMPORTRANGE(""https://docs.google.com/spreadsheets/d/13zDiYSWN14dhBU8OxlbATFo4qBXba3m2YDRZbxsxouQ/edit?gid=0#gid=0"", ""CA157"")"),593.0)</f>
        <v>593</v>
      </c>
      <c r="C45" s="27" t="s">
        <v>83</v>
      </c>
      <c r="D45" s="8">
        <v>1.0</v>
      </c>
      <c r="E45" s="9" t="s">
        <v>58</v>
      </c>
      <c r="F45" s="9"/>
      <c r="G45" s="9"/>
      <c r="H45" s="9"/>
      <c r="I45" s="9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6" t="s">
        <v>86</v>
      </c>
      <c r="B46" s="4">
        <f>IFERROR(__xludf.DUMMYFUNCTION("IMPORTRANGE(""https://docs.google.com/spreadsheets/d/13zDiYSWN14dhBU8OxlbATFo4qBXba3m2YDRZbxsxouQ/edit?gid=0#gid=0"", ""CA142"")"),599.0)</f>
        <v>599</v>
      </c>
      <c r="C46" s="27" t="s">
        <v>83</v>
      </c>
      <c r="D46" s="8">
        <v>1.0</v>
      </c>
      <c r="E46" s="9" t="s">
        <v>37</v>
      </c>
      <c r="F46" s="9"/>
      <c r="G46" s="9"/>
      <c r="H46" s="9"/>
      <c r="I46" s="9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6" t="s">
        <v>87</v>
      </c>
      <c r="B47" s="4">
        <f>IFERROR(__xludf.DUMMYFUNCTION("IMPORTRANGE(""https://docs.google.com/spreadsheets/d/13zDiYSWN14dhBU8OxlbATFo4qBXba3m2YDRZbxsxouQ/edit?gid=0#gid=0"", ""CA31"")"),621.0)</f>
        <v>621</v>
      </c>
      <c r="C47" s="27" t="s">
        <v>83</v>
      </c>
      <c r="D47" s="8">
        <v>6.0</v>
      </c>
      <c r="E47" s="9" t="s">
        <v>37</v>
      </c>
      <c r="F47" s="20" t="s">
        <v>26</v>
      </c>
      <c r="G47" s="20" t="s">
        <v>51</v>
      </c>
      <c r="H47" s="20" t="s">
        <v>6</v>
      </c>
      <c r="I47" s="20" t="s">
        <v>64</v>
      </c>
      <c r="J47" s="6" t="s">
        <v>11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6" t="s">
        <v>88</v>
      </c>
      <c r="B48" s="4">
        <f>IFERROR(__xludf.DUMMYFUNCTION("IMPORTRANGE(""https://docs.google.com/spreadsheets/d/13zDiYSWN14dhBU8OxlbATFo4qBXba3m2YDRZbxsxouQ/edit?gid=0#gid=0"", ""CA32"")"),626.0)</f>
        <v>626</v>
      </c>
      <c r="C48" s="17" t="s">
        <v>20</v>
      </c>
      <c r="D48" s="8">
        <v>1.0</v>
      </c>
      <c r="E48" s="9" t="s">
        <v>21</v>
      </c>
      <c r="F48" s="9"/>
      <c r="G48" s="9"/>
      <c r="H48" s="9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6" t="s">
        <v>89</v>
      </c>
      <c r="B49" s="4">
        <f>IFERROR(__xludf.DUMMYFUNCTION("IMPORTRANGE(""https://docs.google.com/spreadsheets/d/13zDiYSWN14dhBU8OxlbATFo4qBXba3m2YDRZbxsxouQ/edit?gid=0#gid=0"", ""CA33"")"),627.0)</f>
        <v>627</v>
      </c>
      <c r="C49" s="27" t="s">
        <v>83</v>
      </c>
      <c r="D49" s="8">
        <v>1.0</v>
      </c>
      <c r="E49" s="9" t="s">
        <v>37</v>
      </c>
      <c r="F49" s="9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6" t="s">
        <v>90</v>
      </c>
      <c r="B50" s="4">
        <f>IFERROR(__xludf.DUMMYFUNCTION("IMPORTRANGE(""https://docs.google.com/spreadsheets/d/13zDiYSWN14dhBU8OxlbATFo4qBXba3m2YDRZbxsxouQ/edit?gid=0#gid=0"", ""CA34"")"),632.0)</f>
        <v>632</v>
      </c>
      <c r="C50" s="27" t="s">
        <v>83</v>
      </c>
      <c r="D50" s="8">
        <v>3.0</v>
      </c>
      <c r="E50" s="9" t="s">
        <v>51</v>
      </c>
      <c r="F50" s="20" t="s">
        <v>27</v>
      </c>
      <c r="G50" s="20" t="s">
        <v>11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6" t="s">
        <v>91</v>
      </c>
      <c r="B51" s="4">
        <f>IFERROR(__xludf.DUMMYFUNCTION("IMPORTRANGE(""https://docs.google.com/spreadsheets/d/13zDiYSWN14dhBU8OxlbATFo4qBXba3m2YDRZbxsxouQ/edit?gid=0#gid=0"", ""CA35"")"),651.0)</f>
        <v>651</v>
      </c>
      <c r="C51" s="28" t="s">
        <v>92</v>
      </c>
      <c r="D51" s="4">
        <v>5.0</v>
      </c>
      <c r="E51" s="22" t="s">
        <v>37</v>
      </c>
      <c r="F51" s="20" t="s">
        <v>21</v>
      </c>
      <c r="G51" s="20" t="s">
        <v>60</v>
      </c>
      <c r="H51" s="20" t="s">
        <v>27</v>
      </c>
      <c r="I51" s="20" t="s">
        <v>32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6" t="s">
        <v>93</v>
      </c>
      <c r="B52" s="4">
        <f>IFERROR(__xludf.DUMMYFUNCTION("IMPORTRANGE(""https://docs.google.com/spreadsheets/d/13zDiYSWN14dhBU8OxlbATFo4qBXba3m2YDRZbxsxouQ/edit?gid=0#gid=0"", ""CA36"")"),652.0)</f>
        <v>652</v>
      </c>
      <c r="C52" s="17" t="s">
        <v>20</v>
      </c>
      <c r="D52" s="4">
        <v>1.0</v>
      </c>
      <c r="E52" s="22" t="s">
        <v>21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6" t="s">
        <v>94</v>
      </c>
      <c r="B53" s="4">
        <f>IFERROR(__xludf.DUMMYFUNCTION("IMPORTRANGE(""https://docs.google.com/spreadsheets/d/13zDiYSWN14dhBU8OxlbATFo4qBXba3m2YDRZbxsxouQ/edit?gid=0#gid=0"", ""CA123"")"),657.0)</f>
        <v>657</v>
      </c>
      <c r="C53" s="27" t="s">
        <v>83</v>
      </c>
      <c r="D53" s="4">
        <v>1.0</v>
      </c>
      <c r="E53" s="22" t="s">
        <v>6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6" t="s">
        <v>95</v>
      </c>
      <c r="B54" s="4">
        <f>IFERROR(__xludf.DUMMYFUNCTION("IMPORTRANGE(""https://docs.google.com/spreadsheets/d/13zDiYSWN14dhBU8OxlbATFo4qBXba3m2YDRZbxsxouQ/edit?gid=0#gid=0"", ""CA37"")"),660.0)</f>
        <v>660</v>
      </c>
      <c r="C54" s="17" t="s">
        <v>20</v>
      </c>
      <c r="D54" s="4">
        <v>1.0</v>
      </c>
      <c r="E54" s="22" t="s">
        <v>21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6" t="s">
        <v>96</v>
      </c>
      <c r="B55" s="4">
        <f>IFERROR(__xludf.DUMMYFUNCTION("IMPORTRANGE(""https://docs.google.com/spreadsheets/d/13zDiYSWN14dhBU8OxlbATFo4qBXba3m2YDRZbxsxouQ/edit?gid=0#gid=0"", ""CA182"")"),668.0)</f>
        <v>668</v>
      </c>
      <c r="C55" s="27" t="s">
        <v>83</v>
      </c>
      <c r="D55" s="8">
        <v>1.0</v>
      </c>
      <c r="E55" s="29" t="s">
        <v>97</v>
      </c>
      <c r="F55" s="10"/>
      <c r="G55" s="9"/>
      <c r="H55" s="9"/>
      <c r="I55" s="9"/>
      <c r="J55" s="9"/>
      <c r="K55" s="26"/>
      <c r="L55" s="9"/>
      <c r="M55" s="9"/>
      <c r="N55" s="9"/>
      <c r="O55" s="9"/>
      <c r="P55" s="26"/>
      <c r="Q55" s="9"/>
      <c r="R55" s="11"/>
      <c r="S55" s="11"/>
      <c r="T55" s="11"/>
      <c r="U55" s="11"/>
      <c r="V55" s="11"/>
    </row>
    <row r="56">
      <c r="A56" s="6" t="s">
        <v>98</v>
      </c>
      <c r="B56" s="4">
        <f>IFERROR(__xludf.DUMMYFUNCTION("IMPORTRANGE(""https://docs.google.com/spreadsheets/d/13zDiYSWN14dhBU8OxlbATFo4qBXba3m2YDRZbxsxouQ/edit?gid=0#gid=0"", ""CA39"")"),672.0)</f>
        <v>672</v>
      </c>
      <c r="C56" s="28" t="s">
        <v>92</v>
      </c>
      <c r="D56" s="8">
        <v>13.0</v>
      </c>
      <c r="E56" s="9" t="s">
        <v>62</v>
      </c>
      <c r="F56" s="10" t="s">
        <v>23</v>
      </c>
      <c r="G56" s="20" t="s">
        <v>34</v>
      </c>
      <c r="H56" s="20" t="s">
        <v>27</v>
      </c>
      <c r="I56" s="20" t="s">
        <v>70</v>
      </c>
      <c r="J56" s="20" t="s">
        <v>13</v>
      </c>
      <c r="K56" s="6" t="s">
        <v>21</v>
      </c>
      <c r="L56" s="20" t="s">
        <v>6</v>
      </c>
      <c r="M56" s="20" t="s">
        <v>55</v>
      </c>
      <c r="N56" s="20" t="s">
        <v>30</v>
      </c>
      <c r="O56" s="20" t="s">
        <v>11</v>
      </c>
      <c r="P56" s="6" t="s">
        <v>97</v>
      </c>
      <c r="Q56" s="20" t="s">
        <v>99</v>
      </c>
      <c r="R56" s="11"/>
      <c r="S56" s="11"/>
      <c r="T56" s="11"/>
      <c r="U56" s="11"/>
      <c r="V56" s="11"/>
    </row>
    <row r="57">
      <c r="A57" s="6" t="s">
        <v>100</v>
      </c>
      <c r="B57" s="4">
        <f>IFERROR(__xludf.DUMMYFUNCTION("IMPORTRANGE(""https://docs.google.com/spreadsheets/d/13zDiYSWN14dhBU8OxlbATFo4qBXba3m2YDRZbxsxouQ/edit?gid=0#gid=0"", ""CA172"")"),720.0)</f>
        <v>720</v>
      </c>
      <c r="C57" s="28" t="s">
        <v>92</v>
      </c>
      <c r="D57" s="4">
        <v>1.0</v>
      </c>
      <c r="E57" s="22" t="s">
        <v>101</v>
      </c>
      <c r="F57" s="9"/>
      <c r="G57" s="9"/>
      <c r="H57" s="9"/>
      <c r="I57" s="26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6" t="s">
        <v>102</v>
      </c>
      <c r="B58" s="4">
        <f>IFERROR(__xludf.DUMMYFUNCTION("IMPORTRANGE(""https://docs.google.com/spreadsheets/d/13zDiYSWN14dhBU8OxlbATFo4qBXba3m2YDRZbxsxouQ/edit?gid=0#gid=0"", ""CA40"")"),679.0)</f>
        <v>679</v>
      </c>
      <c r="C58" s="28" t="s">
        <v>92</v>
      </c>
      <c r="D58" s="4">
        <v>5.0</v>
      </c>
      <c r="E58" s="22" t="s">
        <v>34</v>
      </c>
      <c r="F58" s="20" t="s">
        <v>23</v>
      </c>
      <c r="G58" s="20" t="s">
        <v>70</v>
      </c>
      <c r="H58" s="20" t="s">
        <v>6</v>
      </c>
      <c r="I58" s="6" t="s">
        <v>27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6" t="s">
        <v>103</v>
      </c>
      <c r="B59" s="4">
        <f>IFERROR(__xludf.DUMMYFUNCTION("IMPORTRANGE(""https://docs.google.com/spreadsheets/d/13zDiYSWN14dhBU8OxlbATFo4qBXba3m2YDRZbxsxouQ/edit?gid=0#gid=0"", ""CA161"")"),683.0)</f>
        <v>683</v>
      </c>
      <c r="C59" s="28" t="s">
        <v>92</v>
      </c>
      <c r="D59" s="4">
        <v>1.0</v>
      </c>
      <c r="E59" s="22" t="s">
        <v>11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6" t="s">
        <v>104</v>
      </c>
      <c r="B60" s="4">
        <f>IFERROR(__xludf.DUMMYFUNCTION("IMPORTRANGE(""https://docs.google.com/spreadsheets/d/13zDiYSWN14dhBU8OxlbATFo4qBXba3m2YDRZbxsxouQ/edit?gid=0#gid=0"", ""CA41"")"),689.0)</f>
        <v>689</v>
      </c>
      <c r="C60" s="28" t="s">
        <v>92</v>
      </c>
      <c r="D60" s="4">
        <v>1.0</v>
      </c>
      <c r="E60" s="22" t="s">
        <v>42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6" t="s">
        <v>105</v>
      </c>
      <c r="B61" s="4">
        <f>IFERROR(__xludf.DUMMYFUNCTION("IMPORTRANGE(""https://docs.google.com/spreadsheets/d/13zDiYSWN14dhBU8OxlbATFo4qBXba3m2YDRZbxsxouQ/edit?gid=0#gid=0"", ""CA42"")"),691.0)</f>
        <v>691</v>
      </c>
      <c r="C61" s="28" t="s">
        <v>92</v>
      </c>
      <c r="D61" s="8">
        <v>3.0</v>
      </c>
      <c r="E61" s="9" t="s">
        <v>23</v>
      </c>
      <c r="F61" s="20" t="s">
        <v>34</v>
      </c>
      <c r="G61" s="20" t="s">
        <v>64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6" t="s">
        <v>106</v>
      </c>
      <c r="B62" s="4">
        <f>IFERROR(__xludf.DUMMYFUNCTION("IMPORTRANGE(""https://docs.google.com/spreadsheets/d/13zDiYSWN14dhBU8OxlbATFo4qBXba3m2YDRZbxsxouQ/edit?gid=0#gid=0"", ""CA43"")"),700.0)</f>
        <v>700</v>
      </c>
      <c r="C62" s="28" t="s">
        <v>92</v>
      </c>
      <c r="D62" s="4">
        <v>3.0</v>
      </c>
      <c r="E62" s="22" t="s">
        <v>107</v>
      </c>
      <c r="F62" s="20" t="s">
        <v>30</v>
      </c>
      <c r="G62" s="20" t="s">
        <v>97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6" t="s">
        <v>108</v>
      </c>
      <c r="B63" s="4">
        <f>IFERROR(__xludf.DUMMYFUNCTION("IMPORTRANGE(""https://docs.google.com/spreadsheets/d/13zDiYSWN14dhBU8OxlbATFo4qBXba3m2YDRZbxsxouQ/edit?gid=0#gid=0"", ""CA44"")"),706.0)</f>
        <v>706</v>
      </c>
      <c r="C63" s="28" t="s">
        <v>92</v>
      </c>
      <c r="D63" s="4">
        <v>2.0</v>
      </c>
      <c r="E63" s="22" t="s">
        <v>34</v>
      </c>
      <c r="F63" s="20" t="s">
        <v>37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6" t="s">
        <v>109</v>
      </c>
      <c r="B64" s="4">
        <f>IFERROR(__xludf.DUMMYFUNCTION("IMPORTRANGE(""https://docs.google.com/spreadsheets/d/13zDiYSWN14dhBU8OxlbATFo4qBXba3m2YDRZbxsxouQ/edit?gid=0#gid=0"", ""CA45"")"),710.0)</f>
        <v>710</v>
      </c>
      <c r="C64" s="28" t="s">
        <v>92</v>
      </c>
      <c r="D64" s="4">
        <v>1.0</v>
      </c>
      <c r="E64" s="22" t="s">
        <v>51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6" t="s">
        <v>110</v>
      </c>
      <c r="B65" s="4">
        <f>IFERROR(__xludf.DUMMYFUNCTION("IMPORTRANGE(""https://docs.google.com/spreadsheets/d/13zDiYSWN14dhBU8OxlbATFo4qBXba3m2YDRZbxsxouQ/edit?gid=0#gid=0"", ""CA46"")"),713.0)</f>
        <v>713</v>
      </c>
      <c r="C65" s="28" t="s">
        <v>92</v>
      </c>
      <c r="D65" s="4">
        <v>2.0</v>
      </c>
      <c r="E65" s="22" t="s">
        <v>27</v>
      </c>
      <c r="F65" s="20" t="s">
        <v>32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6" t="s">
        <v>111</v>
      </c>
      <c r="B66" s="4">
        <f>IFERROR(__xludf.DUMMYFUNCTION("IMPORTRANGE(""https://docs.google.com/spreadsheets/d/13zDiYSWN14dhBU8OxlbATFo4qBXba3m2YDRZbxsxouQ/edit?gid=0#gid=0"", ""CA48"")"),717.0)</f>
        <v>717</v>
      </c>
      <c r="C66" s="28" t="s">
        <v>92</v>
      </c>
      <c r="D66" s="4">
        <v>1.0</v>
      </c>
      <c r="E66" s="22" t="s">
        <v>34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6" t="s">
        <v>112</v>
      </c>
      <c r="B67" s="4">
        <f>IFERROR(__xludf.DUMMYFUNCTION("IMPORTRANGE(""https://docs.google.com/spreadsheets/d/13zDiYSWN14dhBU8OxlbATFo4qBXba3m2YDRZbxsxouQ/edit?gid=0#gid=0"", ""CA170"")"),745.0)</f>
        <v>745</v>
      </c>
      <c r="C67" s="28" t="s">
        <v>92</v>
      </c>
      <c r="D67" s="8">
        <v>1.0</v>
      </c>
      <c r="E67" s="9" t="s">
        <v>11</v>
      </c>
      <c r="F67" s="14"/>
      <c r="G67" s="9"/>
      <c r="H67" s="9"/>
      <c r="I67" s="9"/>
      <c r="J67" s="9"/>
      <c r="K67" s="9"/>
      <c r="L67" s="26"/>
      <c r="M67" s="9"/>
      <c r="N67" s="9"/>
      <c r="O67" s="11"/>
      <c r="P67" s="11"/>
      <c r="Q67" s="11"/>
      <c r="R67" s="11"/>
      <c r="S67" s="11"/>
      <c r="T67" s="11"/>
      <c r="U67" s="11"/>
      <c r="V67" s="11"/>
    </row>
    <row r="68">
      <c r="A68" s="6" t="s">
        <v>113</v>
      </c>
      <c r="B68" s="4">
        <f>IFERROR(__xludf.DUMMYFUNCTION("IMPORTRANGE(""https://docs.google.com/spreadsheets/d/13zDiYSWN14dhBU8OxlbATFo4qBXba3m2YDRZbxsxouQ/edit?gid=0#gid=0"", ""CA139"")"),752.0)</f>
        <v>752</v>
      </c>
      <c r="C68" s="28" t="s">
        <v>92</v>
      </c>
      <c r="D68" s="8">
        <v>8.0</v>
      </c>
      <c r="E68" s="9" t="s">
        <v>37</v>
      </c>
      <c r="F68" s="18" t="s">
        <v>27</v>
      </c>
      <c r="G68" s="20" t="s">
        <v>32</v>
      </c>
      <c r="H68" s="20" t="s">
        <v>21</v>
      </c>
      <c r="I68" s="20" t="s">
        <v>114</v>
      </c>
      <c r="J68" s="20" t="s">
        <v>64</v>
      </c>
      <c r="K68" s="20" t="s">
        <v>38</v>
      </c>
      <c r="L68" s="6" t="s">
        <v>60</v>
      </c>
      <c r="M68" s="9"/>
      <c r="N68" s="9"/>
      <c r="O68" s="11"/>
      <c r="P68" s="11"/>
      <c r="Q68" s="11"/>
      <c r="R68" s="11"/>
      <c r="S68" s="11"/>
      <c r="T68" s="11"/>
      <c r="U68" s="11"/>
      <c r="V68" s="11"/>
    </row>
    <row r="69">
      <c r="A69" s="6" t="s">
        <v>115</v>
      </c>
      <c r="B69" s="4">
        <f>IFERROR(__xludf.DUMMYFUNCTION("IMPORTRANGE(""https://docs.google.com/spreadsheets/d/13zDiYSWN14dhBU8OxlbATFo4qBXba3m2YDRZbxsxouQ/edit?gid=0#gid=0"", ""CA50"")"),753.0)</f>
        <v>753</v>
      </c>
      <c r="C69" s="28" t="s">
        <v>92</v>
      </c>
      <c r="D69" s="8">
        <v>29.0</v>
      </c>
      <c r="E69" s="9" t="s">
        <v>34</v>
      </c>
      <c r="F69" s="10" t="s">
        <v>62</v>
      </c>
      <c r="G69" s="18" t="s">
        <v>51</v>
      </c>
      <c r="H69" s="10" t="s">
        <v>73</v>
      </c>
      <c r="I69" s="10" t="s">
        <v>37</v>
      </c>
      <c r="J69" s="20" t="s">
        <v>29</v>
      </c>
      <c r="K69" s="20" t="s">
        <v>27</v>
      </c>
      <c r="L69" s="20" t="s">
        <v>116</v>
      </c>
      <c r="M69" s="20" t="s">
        <v>70</v>
      </c>
      <c r="N69" s="20" t="s">
        <v>117</v>
      </c>
      <c r="O69" s="20" t="s">
        <v>15</v>
      </c>
      <c r="P69" s="20" t="s">
        <v>23</v>
      </c>
      <c r="Q69" s="20" t="s">
        <v>118</v>
      </c>
      <c r="R69" s="20" t="s">
        <v>13</v>
      </c>
      <c r="S69" s="6" t="s">
        <v>32</v>
      </c>
      <c r="T69" s="6" t="s">
        <v>55</v>
      </c>
      <c r="U69" s="6" t="s">
        <v>26</v>
      </c>
      <c r="V69" s="20" t="s">
        <v>78</v>
      </c>
      <c r="W69" s="6" t="s">
        <v>107</v>
      </c>
      <c r="X69" s="6" t="s">
        <v>101</v>
      </c>
      <c r="Y69" s="6" t="s">
        <v>6</v>
      </c>
      <c r="Z69" s="6" t="s">
        <v>79</v>
      </c>
      <c r="AA69" s="6" t="s">
        <v>44</v>
      </c>
      <c r="AB69" s="6" t="s">
        <v>64</v>
      </c>
      <c r="AC69" s="6" t="s">
        <v>38</v>
      </c>
      <c r="AD69" s="6" t="s">
        <v>114</v>
      </c>
      <c r="AE69" s="6" t="s">
        <v>119</v>
      </c>
      <c r="AF69" s="6" t="s">
        <v>120</v>
      </c>
      <c r="AG69" s="6" t="s">
        <v>121</v>
      </c>
    </row>
    <row r="70">
      <c r="A70" s="6" t="s">
        <v>122</v>
      </c>
      <c r="B70" s="4">
        <f>IFERROR(__xludf.DUMMYFUNCTION("IMPORTRANGE(""https://docs.google.com/spreadsheets/d/13zDiYSWN14dhBU8OxlbATFo4qBXba3m2YDRZbxsxouQ/edit?gid=0#gid=0"", ""CA51"")"),758.0)</f>
        <v>758</v>
      </c>
      <c r="C70" s="30" t="s">
        <v>123</v>
      </c>
      <c r="D70" s="4">
        <v>3.0</v>
      </c>
      <c r="E70" s="22" t="s">
        <v>34</v>
      </c>
      <c r="F70" s="20" t="s">
        <v>26</v>
      </c>
      <c r="G70" s="18" t="s">
        <v>6</v>
      </c>
      <c r="H70" s="10"/>
      <c r="I70" s="10"/>
      <c r="J70" s="11"/>
      <c r="K70" s="11"/>
      <c r="L70" s="11"/>
      <c r="M70" s="11"/>
      <c r="N70" s="11"/>
      <c r="O70" s="11"/>
      <c r="P70" s="11"/>
      <c r="Q70" s="11"/>
      <c r="S70" s="11"/>
      <c r="T70" s="11"/>
      <c r="U70" s="11"/>
      <c r="V70" s="11"/>
    </row>
    <row r="71">
      <c r="A71" s="6" t="s">
        <v>124</v>
      </c>
      <c r="B71" s="4">
        <f>IFERROR(__xludf.DUMMYFUNCTION("IMPORTRANGE(""https://docs.google.com/spreadsheets/d/13zDiYSWN14dhBU8OxlbATFo4qBXba3m2YDRZbxsxouQ/edit?gid=0#gid=0"", ""CA52"")"),762.0)</f>
        <v>762</v>
      </c>
      <c r="C71" s="28" t="s">
        <v>92</v>
      </c>
      <c r="D71" s="8">
        <v>12.0</v>
      </c>
      <c r="E71" s="9" t="s">
        <v>51</v>
      </c>
      <c r="F71" s="10" t="s">
        <v>116</v>
      </c>
      <c r="G71" s="10" t="s">
        <v>37</v>
      </c>
      <c r="H71" s="10" t="s">
        <v>27</v>
      </c>
      <c r="I71" s="20" t="s">
        <v>13</v>
      </c>
      <c r="J71" s="20" t="s">
        <v>60</v>
      </c>
      <c r="K71" s="20" t="s">
        <v>125</v>
      </c>
      <c r="L71" s="20" t="s">
        <v>114</v>
      </c>
      <c r="M71" s="20" t="s">
        <v>21</v>
      </c>
      <c r="N71" s="20" t="s">
        <v>64</v>
      </c>
      <c r="O71" s="20" t="s">
        <v>38</v>
      </c>
      <c r="P71" s="20" t="s">
        <v>26</v>
      </c>
      <c r="R71" s="11"/>
      <c r="S71" s="11"/>
      <c r="T71" s="11"/>
      <c r="U71" s="11"/>
      <c r="V71" s="11"/>
    </row>
    <row r="72">
      <c r="A72" s="6" t="s">
        <v>126</v>
      </c>
      <c r="B72" s="4">
        <f>IFERROR(__xludf.DUMMYFUNCTION("IMPORTRANGE(""https://docs.google.com/spreadsheets/d/13zDiYSWN14dhBU8OxlbATFo4qBXba3m2YDRZbxsxouQ/edit?gid=0#gid=0"", ""CA49"")"),780.0)</f>
        <v>780</v>
      </c>
      <c r="C72" s="28" t="s">
        <v>92</v>
      </c>
      <c r="D72" s="8">
        <v>1.0</v>
      </c>
      <c r="E72" s="16" t="s">
        <v>37</v>
      </c>
      <c r="G72" s="10"/>
      <c r="H72" s="10"/>
      <c r="I72" s="10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>
      <c r="A73" s="6" t="s">
        <v>127</v>
      </c>
      <c r="B73" s="4">
        <f>IFERROR(__xludf.DUMMYFUNCTION("IMPORTRANGE(""https://docs.google.com/spreadsheets/d/13zDiYSWN14dhBU8OxlbATFo4qBXba3m2YDRZbxsxouQ/edit?gid=0#gid=0"", ""CA53"")"),774.0)</f>
        <v>774</v>
      </c>
      <c r="C73" s="30" t="s">
        <v>123</v>
      </c>
      <c r="D73" s="4">
        <v>4.0</v>
      </c>
      <c r="E73" s="22" t="s">
        <v>37</v>
      </c>
      <c r="F73" s="20" t="s">
        <v>44</v>
      </c>
      <c r="G73" s="20" t="s">
        <v>13</v>
      </c>
      <c r="H73" s="20" t="s">
        <v>119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6" t="s">
        <v>128</v>
      </c>
      <c r="B74" s="4">
        <f>IFERROR(__xludf.DUMMYFUNCTION("IMPORTRANGE(""https://docs.google.com/spreadsheets/d/13zDiYSWN14dhBU8OxlbATFo4qBXba3m2YDRZbxsxouQ/edit?gid=0#gid=0"", ""CA144"")"),783.0)</f>
        <v>783</v>
      </c>
      <c r="C74" s="17" t="s">
        <v>20</v>
      </c>
      <c r="D74" s="4">
        <v>1.0</v>
      </c>
      <c r="E74" s="22" t="s">
        <v>21</v>
      </c>
      <c r="F74" s="9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6" t="s">
        <v>129</v>
      </c>
      <c r="B75" s="4">
        <f>IFERROR(__xludf.DUMMYFUNCTION("IMPORTRANGE(""https://docs.google.com/spreadsheets/d/13zDiYSWN14dhBU8OxlbATFo4qBXba3m2YDRZbxsxouQ/edit?gid=0#gid=0"", ""CA54"")"),784.0)</f>
        <v>784</v>
      </c>
      <c r="C75" s="30" t="s">
        <v>123</v>
      </c>
      <c r="D75" s="4">
        <v>2.0</v>
      </c>
      <c r="E75" s="16" t="s">
        <v>21</v>
      </c>
      <c r="F75" s="6" t="s">
        <v>37</v>
      </c>
      <c r="G75" s="14"/>
      <c r="H75" s="10"/>
      <c r="I75" s="9"/>
      <c r="J75" s="10"/>
      <c r="K75" s="10"/>
      <c r="L75" s="10"/>
      <c r="M75" s="9"/>
      <c r="N75" s="10"/>
      <c r="O75" s="9"/>
      <c r="P75" s="9"/>
      <c r="Q75" s="9"/>
      <c r="R75" s="9"/>
      <c r="S75" s="9"/>
      <c r="T75" s="9"/>
      <c r="U75" s="9"/>
      <c r="V75" s="11"/>
    </row>
    <row r="76">
      <c r="A76" s="6" t="s">
        <v>130</v>
      </c>
      <c r="B76" s="4">
        <f>IFERROR(__xludf.DUMMYFUNCTION("IMPORTRANGE(""https://docs.google.com/spreadsheets/d/13zDiYSWN14dhBU8OxlbATFo4qBXba3m2YDRZbxsxouQ/edit?gid=0#gid=0"", ""CA55"")"),787.0)</f>
        <v>787</v>
      </c>
      <c r="C76" s="30" t="s">
        <v>123</v>
      </c>
      <c r="D76" s="4">
        <v>2.0</v>
      </c>
      <c r="E76" s="22" t="s">
        <v>51</v>
      </c>
      <c r="F76" s="20" t="s">
        <v>26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6" t="s">
        <v>131</v>
      </c>
      <c r="B77" s="4">
        <f>IFERROR(__xludf.DUMMYFUNCTION("IMPORTRANGE(""https://docs.google.com/spreadsheets/d/13zDiYSWN14dhBU8OxlbATFo4qBXba3m2YDRZbxsxouQ/edit?gid=0#gid=0"", ""CA126"")"),797.0)</f>
        <v>797</v>
      </c>
      <c r="C77" s="30" t="s">
        <v>123</v>
      </c>
      <c r="D77" s="4">
        <v>2.0</v>
      </c>
      <c r="E77" s="22" t="s">
        <v>6</v>
      </c>
      <c r="F77" s="20" t="s">
        <v>58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6" t="s">
        <v>132</v>
      </c>
      <c r="B78" s="4">
        <f>IFERROR(__xludf.DUMMYFUNCTION("IMPORTRANGE(""https://docs.google.com/spreadsheets/d/13zDiYSWN14dhBU8OxlbATFo4qBXba3m2YDRZbxsxouQ/edit?gid=0#gid=0"", ""CA59"")"),804.0)</f>
        <v>804</v>
      </c>
      <c r="C78" s="30" t="s">
        <v>123</v>
      </c>
      <c r="D78" s="4">
        <v>2.0</v>
      </c>
      <c r="E78" s="22" t="s">
        <v>27</v>
      </c>
      <c r="F78" s="20" t="s">
        <v>32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6" t="s">
        <v>133</v>
      </c>
      <c r="B79" s="4">
        <f>IFERROR(__xludf.DUMMYFUNCTION("IMPORTRANGE(""https://docs.google.com/spreadsheets/d/13zDiYSWN14dhBU8OxlbATFo4qBXba3m2YDRZbxsxouQ/edit?gid=0#gid=0"", ""CA60"")"),830.0)</f>
        <v>830</v>
      </c>
      <c r="C79" s="31" t="s">
        <v>134</v>
      </c>
      <c r="D79" s="4">
        <v>1.0</v>
      </c>
      <c r="E79" s="22" t="s">
        <v>21</v>
      </c>
      <c r="F79" s="9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6" t="s">
        <v>135</v>
      </c>
      <c r="B80" s="4">
        <f>IFERROR(__xludf.DUMMYFUNCTION("IMPORTRANGE(""https://docs.google.com/spreadsheets/d/13zDiYSWN14dhBU8OxlbATFo4qBXba3m2YDRZbxsxouQ/edit?gid=0#gid=0"", ""CA156"")"),838.0)</f>
        <v>838</v>
      </c>
      <c r="C80" s="31" t="s">
        <v>134</v>
      </c>
      <c r="D80" s="4">
        <v>3.0</v>
      </c>
      <c r="E80" s="22" t="s">
        <v>21</v>
      </c>
      <c r="F80" s="20" t="s">
        <v>101</v>
      </c>
      <c r="G80" s="20" t="s">
        <v>119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26" t="s">
        <v>136</v>
      </c>
      <c r="B81" s="4"/>
      <c r="C81" s="31"/>
      <c r="D81" s="4"/>
      <c r="E81" s="22"/>
      <c r="F81" s="9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26" t="s">
        <v>137</v>
      </c>
      <c r="B82" s="4"/>
      <c r="C82" s="31"/>
      <c r="D82" s="4"/>
      <c r="E82" s="22"/>
      <c r="F82" s="9"/>
      <c r="G82" s="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6" t="s">
        <v>138</v>
      </c>
      <c r="B83" s="4">
        <f>IFERROR(__xludf.DUMMYFUNCTION("IMPORTRANGE(""https://docs.google.com/spreadsheets/d/13zDiYSWN14dhBU8OxlbATFo4qBXba3m2YDRZbxsxouQ/edit?gid=0#gid=0"", ""CA145"")"),856.0)</f>
        <v>856</v>
      </c>
      <c r="C83" s="31" t="s">
        <v>134</v>
      </c>
      <c r="D83" s="4">
        <v>1.0</v>
      </c>
      <c r="E83" s="22" t="s">
        <v>37</v>
      </c>
      <c r="F83" s="9"/>
      <c r="G83" s="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6" t="s">
        <v>139</v>
      </c>
      <c r="B84" s="4">
        <f>IFERROR(__xludf.DUMMYFUNCTION("IMPORTRANGE(""https://docs.google.com/spreadsheets/d/13zDiYSWN14dhBU8OxlbATFo4qBXba3m2YDRZbxsxouQ/edit?gid=0#gid=0"", ""CA57"")"),898.0)</f>
        <v>898</v>
      </c>
      <c r="C84" s="30" t="s">
        <v>123</v>
      </c>
      <c r="D84" s="8">
        <v>13.0</v>
      </c>
      <c r="E84" s="9" t="s">
        <v>51</v>
      </c>
      <c r="F84" s="10" t="s">
        <v>37</v>
      </c>
      <c r="G84" s="10" t="s">
        <v>70</v>
      </c>
      <c r="H84" s="10" t="s">
        <v>27</v>
      </c>
      <c r="I84" s="20" t="s">
        <v>23</v>
      </c>
      <c r="J84" s="20" t="s">
        <v>140</v>
      </c>
      <c r="K84" s="20" t="s">
        <v>13</v>
      </c>
      <c r="L84" s="20" t="s">
        <v>55</v>
      </c>
      <c r="M84" s="20" t="s">
        <v>78</v>
      </c>
      <c r="N84" s="20" t="s">
        <v>6</v>
      </c>
      <c r="O84" s="20" t="s">
        <v>30</v>
      </c>
      <c r="P84" s="20" t="s">
        <v>97</v>
      </c>
      <c r="Q84" s="6" t="s">
        <v>32</v>
      </c>
      <c r="R84" s="11"/>
      <c r="S84" s="11"/>
      <c r="T84" s="11"/>
      <c r="U84" s="11"/>
      <c r="V84" s="11"/>
    </row>
    <row r="85">
      <c r="A85" s="6" t="s">
        <v>141</v>
      </c>
      <c r="B85" s="4">
        <f>IFERROR(__xludf.DUMMYFUNCTION("IMPORTRANGE(""https://docs.google.com/spreadsheets/d/13zDiYSWN14dhBU8OxlbATFo4qBXba3m2YDRZbxsxouQ/edit?gid=0#gid=0"", ""CA61"")"),908.0)</f>
        <v>908</v>
      </c>
      <c r="C85" s="31" t="s">
        <v>134</v>
      </c>
      <c r="D85" s="4">
        <v>4.0</v>
      </c>
      <c r="E85" s="22" t="s">
        <v>37</v>
      </c>
      <c r="F85" s="20" t="s">
        <v>21</v>
      </c>
      <c r="G85" s="20" t="s">
        <v>11</v>
      </c>
      <c r="H85" s="20" t="s">
        <v>119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6" t="s">
        <v>142</v>
      </c>
      <c r="B86" s="4">
        <f>IFERROR(__xludf.DUMMYFUNCTION("IMPORTRANGE(""https://docs.google.com/spreadsheets/d/13zDiYSWN14dhBU8OxlbATFo4qBXba3m2YDRZbxsxouQ/edit?gid=0#gid=0"", ""CA147"")"),913.0)</f>
        <v>913</v>
      </c>
      <c r="C86" s="30" t="s">
        <v>123</v>
      </c>
      <c r="D86" s="4">
        <v>2.0</v>
      </c>
      <c r="E86" s="22" t="s">
        <v>30</v>
      </c>
      <c r="F86" s="20" t="s">
        <v>97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6" t="s">
        <v>143</v>
      </c>
      <c r="B87" s="4">
        <f>IFERROR(__xludf.DUMMYFUNCTION("IMPORTRANGE(""https://docs.google.com/spreadsheets/d/13zDiYSWN14dhBU8OxlbATFo4qBXba3m2YDRZbxsxouQ/edit?gid=0#gid=0"", ""CA63"")"),916.0)</f>
        <v>916</v>
      </c>
      <c r="C87" s="31" t="s">
        <v>134</v>
      </c>
      <c r="D87" s="4">
        <v>3.0</v>
      </c>
      <c r="E87" s="22" t="s">
        <v>27</v>
      </c>
      <c r="F87" s="20" t="s">
        <v>26</v>
      </c>
      <c r="G87" s="20" t="s">
        <v>6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6" t="s">
        <v>144</v>
      </c>
      <c r="B88" s="4">
        <f>IFERROR(__xludf.DUMMYFUNCTION("IMPORTRANGE(""https://docs.google.com/spreadsheets/d/13zDiYSWN14dhBU8OxlbATFo4qBXba3m2YDRZbxsxouQ/edit?gid=0#gid=0"", ""CA62"")"),923.0)</f>
        <v>923</v>
      </c>
      <c r="C88" s="31" t="s">
        <v>134</v>
      </c>
      <c r="D88" s="4">
        <v>2.0</v>
      </c>
      <c r="E88" s="22" t="s">
        <v>21</v>
      </c>
      <c r="F88" s="20" t="s">
        <v>26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6" t="s">
        <v>145</v>
      </c>
      <c r="B89" s="4">
        <f>IFERROR(__xludf.DUMMYFUNCTION("IMPORTRANGE(""https://docs.google.com/spreadsheets/d/13zDiYSWN14dhBU8OxlbATFo4qBXba3m2YDRZbxsxouQ/edit?gid=0#gid=0"", ""CA64"")"),924.0)</f>
        <v>924</v>
      </c>
      <c r="C89" s="31" t="s">
        <v>134</v>
      </c>
      <c r="D89" s="4">
        <v>3.0</v>
      </c>
      <c r="E89" s="22" t="s">
        <v>27</v>
      </c>
      <c r="F89" s="20" t="s">
        <v>21</v>
      </c>
      <c r="G89" s="20" t="s">
        <v>60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6" t="s">
        <v>146</v>
      </c>
      <c r="B90" s="4">
        <f>IFERROR(__xludf.DUMMYFUNCTION("IMPORTRANGE(""https://docs.google.com/spreadsheets/d/13zDiYSWN14dhBU8OxlbATFo4qBXba3m2YDRZbxsxouQ/edit?gid=0#gid=0"", ""CA169"")"),925.0)</f>
        <v>925</v>
      </c>
      <c r="C90" s="31" t="s">
        <v>134</v>
      </c>
      <c r="D90" s="4">
        <v>1.0</v>
      </c>
      <c r="E90" s="22" t="s">
        <v>21</v>
      </c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6" t="s">
        <v>147</v>
      </c>
      <c r="B91" s="4">
        <f>IFERROR(__xludf.DUMMYFUNCTION("IMPORTRANGE(""https://docs.google.com/spreadsheets/d/13zDiYSWN14dhBU8OxlbATFo4qBXba3m2YDRZbxsxouQ/edit?gid=0#gid=0"", ""CA137"")"),995.0)</f>
        <v>995</v>
      </c>
      <c r="C91" s="32" t="s">
        <v>148</v>
      </c>
      <c r="D91" s="4">
        <v>1.0</v>
      </c>
      <c r="E91" s="22" t="s">
        <v>37</v>
      </c>
      <c r="F91" s="9"/>
      <c r="G91" s="9"/>
      <c r="H91" s="9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6" t="s">
        <v>149</v>
      </c>
      <c r="B92" s="4">
        <f>IFERROR(__xludf.DUMMYFUNCTION("IMPORTRANGE(""https://docs.google.com/spreadsheets/d/13zDiYSWN14dhBU8OxlbATFo4qBXba3m2YDRZbxsxouQ/edit?gid=0#gid=0"", ""CA66"")"),968.0)</f>
        <v>968</v>
      </c>
      <c r="C92" s="31" t="s">
        <v>134</v>
      </c>
      <c r="D92" s="8">
        <v>4.0</v>
      </c>
      <c r="E92" s="9" t="s">
        <v>23</v>
      </c>
      <c r="F92" s="10" t="s">
        <v>150</v>
      </c>
      <c r="G92" s="10" t="s">
        <v>116</v>
      </c>
      <c r="H92" s="20" t="s">
        <v>27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6" t="s">
        <v>151</v>
      </c>
      <c r="B93" s="4">
        <f>IFERROR(__xludf.DUMMYFUNCTION("IMPORTRANGE(""https://docs.google.com/spreadsheets/d/13zDiYSWN14dhBU8OxlbATFo4qBXba3m2YDRZbxsxouQ/edit?gid=0#gid=0"", ""CA178"")"),972.0)</f>
        <v>972</v>
      </c>
      <c r="C93" s="31" t="s">
        <v>134</v>
      </c>
      <c r="D93" s="4">
        <v>1.0</v>
      </c>
      <c r="E93" s="22" t="s">
        <v>152</v>
      </c>
      <c r="F93" s="9"/>
      <c r="G93" s="9"/>
      <c r="H93" s="9"/>
      <c r="I93" s="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6" t="s">
        <v>153</v>
      </c>
      <c r="B94" s="4">
        <f>IFERROR(__xludf.DUMMYFUNCTION("IMPORTRANGE(""https://docs.google.com/spreadsheets/d/13zDiYSWN14dhBU8OxlbATFo4qBXba3m2YDRZbxsxouQ/edit?gid=0#gid=0"", ""CA65"")"),973.0)</f>
        <v>973</v>
      </c>
      <c r="C94" s="31" t="s">
        <v>134</v>
      </c>
      <c r="D94" s="4">
        <v>5.0</v>
      </c>
      <c r="E94" s="22" t="s">
        <v>11</v>
      </c>
      <c r="F94" s="20" t="s">
        <v>70</v>
      </c>
      <c r="G94" s="20" t="s">
        <v>26</v>
      </c>
      <c r="H94" s="20" t="s">
        <v>6</v>
      </c>
      <c r="I94" s="20" t="s">
        <v>58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6" t="s">
        <v>154</v>
      </c>
      <c r="B95" s="4">
        <f>IFERROR(__xludf.DUMMYFUNCTION("IMPORTRANGE(""https://docs.google.com/spreadsheets/d/13zDiYSWN14dhBU8OxlbATFo4qBXba3m2YDRZbxsxouQ/edit?gid=0#gid=0"", ""CA141"")"),996.0)</f>
        <v>996</v>
      </c>
      <c r="C95" s="32" t="s">
        <v>148</v>
      </c>
      <c r="D95" s="8">
        <v>1.0</v>
      </c>
      <c r="E95" s="9" t="s">
        <v>11</v>
      </c>
      <c r="F95" s="10"/>
      <c r="G95" s="14"/>
      <c r="H95" s="10"/>
      <c r="I95" s="10"/>
      <c r="J95" s="10"/>
      <c r="K95" s="9"/>
      <c r="L95" s="9"/>
      <c r="M95" s="9"/>
      <c r="N95" s="9"/>
      <c r="O95" s="9"/>
      <c r="P95" s="9"/>
      <c r="Q95" s="9"/>
      <c r="R95" s="9"/>
      <c r="S95" s="9"/>
      <c r="T95" s="26"/>
      <c r="U95" s="26"/>
      <c r="V95" s="26"/>
      <c r="W95" s="9"/>
      <c r="X95" s="26"/>
      <c r="Y95" s="26"/>
      <c r="Z95" s="26"/>
    </row>
    <row r="96">
      <c r="A96" s="26" t="s">
        <v>155</v>
      </c>
      <c r="B96" s="4"/>
      <c r="C96" s="31"/>
      <c r="D96" s="4"/>
      <c r="E96" s="22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6" t="s">
        <v>156</v>
      </c>
      <c r="B97" s="4">
        <f>IFERROR(__xludf.DUMMYFUNCTION("IMPORTRANGE(""https://docs.google.com/spreadsheets/d/13zDiYSWN14dhBU8OxlbATFo4qBXba3m2YDRZbxsxouQ/edit?gid=0#gid=0"", ""CA159"")"),1021.0)</f>
        <v>1021</v>
      </c>
      <c r="C97" s="31" t="s">
        <v>134</v>
      </c>
      <c r="D97" s="4">
        <v>1.0</v>
      </c>
      <c r="E97" s="22" t="s">
        <v>6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6" t="s">
        <v>157</v>
      </c>
      <c r="B98" s="4">
        <f>IFERROR(__xludf.DUMMYFUNCTION("IMPORTRANGE(""https://docs.google.com/spreadsheets/d/13zDiYSWN14dhBU8OxlbATFo4qBXba3m2YDRZbxsxouQ/edit?gid=0#gid=0"", ""CA134"")"),1029.0)</f>
        <v>1029</v>
      </c>
      <c r="C98" s="32" t="s">
        <v>148</v>
      </c>
      <c r="D98" s="4">
        <v>1.0</v>
      </c>
      <c r="E98" s="22" t="s">
        <v>6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6" t="s">
        <v>158</v>
      </c>
      <c r="B99" s="4">
        <f>IFERROR(__xludf.DUMMYFUNCTION("IMPORTRANGE(""https://docs.google.com/spreadsheets/d/13zDiYSWN14dhBU8OxlbATFo4qBXba3m2YDRZbxsxouQ/edit?gid=0#gid=0"", ""CA67"")"),1035.0)</f>
        <v>1035</v>
      </c>
      <c r="C99" s="32" t="s">
        <v>148</v>
      </c>
      <c r="D99" s="4">
        <v>1.0</v>
      </c>
      <c r="E99" s="22" t="s">
        <v>37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6" t="s">
        <v>159</v>
      </c>
      <c r="B100" s="4">
        <f>IFERROR(__xludf.DUMMYFUNCTION("IMPORTRANGE(""https://docs.google.com/spreadsheets/d/13zDiYSWN14dhBU8OxlbATFo4qBXba3m2YDRZbxsxouQ/edit?gid=0#gid=0"", ""CA174"")"),1039.0)</f>
        <v>1039</v>
      </c>
      <c r="C100" s="31" t="s">
        <v>134</v>
      </c>
      <c r="D100" s="4">
        <v>1.0</v>
      </c>
      <c r="E100" s="5" t="s">
        <v>11</v>
      </c>
    </row>
    <row r="101">
      <c r="A101" s="6" t="s">
        <v>160</v>
      </c>
      <c r="B101" s="4">
        <f>IFERROR(__xludf.DUMMYFUNCTION("IMPORTRANGE(""https://docs.google.com/spreadsheets/d/13zDiYSWN14dhBU8OxlbATFo4qBXba3m2YDRZbxsxouQ/edit?gid=0#gid=0"", ""CA73"")"),1053.0)</f>
        <v>1053</v>
      </c>
      <c r="C101" s="32" t="s">
        <v>148</v>
      </c>
      <c r="D101" s="4">
        <v>1.0</v>
      </c>
      <c r="E101" s="5" t="s">
        <v>37</v>
      </c>
    </row>
    <row r="102">
      <c r="A102" s="6" t="s">
        <v>161</v>
      </c>
      <c r="B102" s="4">
        <f>IFERROR(__xludf.DUMMYFUNCTION("IMPORTRANGE(""https://docs.google.com/spreadsheets/d/13zDiYSWN14dhBU8OxlbATFo4qBXba3m2YDRZbxsxouQ/edit?gid=0#gid=0"", ""CA68"")"),1054.0)</f>
        <v>1054</v>
      </c>
      <c r="C102" s="32" t="s">
        <v>148</v>
      </c>
      <c r="D102" s="4">
        <v>2.0</v>
      </c>
      <c r="E102" s="29" t="s">
        <v>27</v>
      </c>
      <c r="F102" s="20" t="s">
        <v>37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6" t="s">
        <v>162</v>
      </c>
      <c r="B103" s="4">
        <f>IFERROR(__xludf.DUMMYFUNCTION("IMPORTRANGE(""https://docs.google.com/spreadsheets/d/13zDiYSWN14dhBU8OxlbATFo4qBXba3m2YDRZbxsxouQ/edit?gid=0#gid=0"", ""CA125"")"),1066.0)</f>
        <v>1066</v>
      </c>
      <c r="C103" s="32" t="s">
        <v>148</v>
      </c>
      <c r="D103" s="8">
        <v>2.0</v>
      </c>
      <c r="E103" s="9" t="s">
        <v>6</v>
      </c>
      <c r="F103" s="18" t="s">
        <v>11</v>
      </c>
      <c r="G103" s="10"/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6" t="s">
        <v>163</v>
      </c>
      <c r="B104" s="4">
        <f>IFERROR(__xludf.DUMMYFUNCTION("IMPORTRANGE(""https://docs.google.com/spreadsheets/d/13zDiYSWN14dhBU8OxlbATFo4qBXba3m2YDRZbxsxouQ/edit?gid=0#gid=0"", ""CA160"")"),1071.0)</f>
        <v>1071</v>
      </c>
      <c r="C104" s="32" t="s">
        <v>148</v>
      </c>
      <c r="D104" s="8">
        <v>1.0</v>
      </c>
      <c r="E104" s="9" t="s">
        <v>32</v>
      </c>
      <c r="F104" s="10"/>
      <c r="G104" s="10"/>
      <c r="H104" s="10"/>
      <c r="I104" s="9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6" t="s">
        <v>164</v>
      </c>
      <c r="B105" s="4">
        <f>IFERROR(__xludf.DUMMYFUNCTION("IMPORTRANGE(""https://docs.google.com/spreadsheets/d/13zDiYSWN14dhBU8OxlbATFo4qBXba3m2YDRZbxsxouQ/edit?gid=0#gid=0"", ""CA179"")"),1089.0)</f>
        <v>1089</v>
      </c>
      <c r="C105" s="32" t="s">
        <v>148</v>
      </c>
      <c r="D105" s="8">
        <v>1.0</v>
      </c>
      <c r="E105" s="9" t="s">
        <v>60</v>
      </c>
      <c r="F105" s="10"/>
      <c r="G105" s="10"/>
      <c r="H105" s="10"/>
      <c r="I105" s="9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6" t="s">
        <v>165</v>
      </c>
      <c r="B106" s="4">
        <f>IFERROR(__xludf.DUMMYFUNCTION("IMPORTRANGE(""https://docs.google.com/spreadsheets/d/13zDiYSWN14dhBU8OxlbATFo4qBXba3m2YDRZbxsxouQ/edit?gid=0#gid=0"", ""CA69"")"),1092.0)</f>
        <v>1092</v>
      </c>
      <c r="C106" s="32" t="s">
        <v>148</v>
      </c>
      <c r="D106" s="8">
        <v>5.0</v>
      </c>
      <c r="E106" s="9" t="s">
        <v>62</v>
      </c>
      <c r="F106" s="10" t="s">
        <v>23</v>
      </c>
      <c r="G106" s="10" t="s">
        <v>51</v>
      </c>
      <c r="H106" s="10" t="s">
        <v>70</v>
      </c>
      <c r="I106" s="20" t="s">
        <v>6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6" t="s">
        <v>166</v>
      </c>
      <c r="B107" s="4">
        <f>IFERROR(__xludf.DUMMYFUNCTION("IMPORTRANGE(""https://docs.google.com/spreadsheets/d/13zDiYSWN14dhBU8OxlbATFo4qBXba3m2YDRZbxsxouQ/edit?gid=0#gid=0"", ""CA70"")"),1113.0)</f>
        <v>1113</v>
      </c>
      <c r="C107" s="32" t="s">
        <v>148</v>
      </c>
      <c r="D107" s="4">
        <v>2.0</v>
      </c>
      <c r="E107" s="22" t="s">
        <v>60</v>
      </c>
      <c r="F107" s="20" t="s">
        <v>21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6" t="s">
        <v>167</v>
      </c>
      <c r="B108" s="4">
        <f>IFERROR(__xludf.DUMMYFUNCTION("IMPORTRANGE(""https://docs.google.com/spreadsheets/d/13zDiYSWN14dhBU8OxlbATFo4qBXba3m2YDRZbxsxouQ/edit?gid=0#gid=0"", ""CA78"")"),1118.0)</f>
        <v>1118</v>
      </c>
      <c r="C108" s="32" t="s">
        <v>148</v>
      </c>
      <c r="D108" s="4">
        <v>1.0</v>
      </c>
      <c r="E108" s="22" t="s">
        <v>70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6" t="s">
        <v>168</v>
      </c>
      <c r="B109" s="4">
        <f>IFERROR(__xludf.DUMMYFUNCTION("IMPORTRANGE(""https://docs.google.com/spreadsheets/d/13zDiYSWN14dhBU8OxlbATFo4qBXba3m2YDRZbxsxouQ/edit?gid=0#gid=0"", ""CA130"")"),1122.0)</f>
        <v>1122</v>
      </c>
      <c r="C109" s="33" t="s">
        <v>169</v>
      </c>
      <c r="D109" s="4">
        <v>2.0</v>
      </c>
      <c r="E109" s="22" t="s">
        <v>6</v>
      </c>
      <c r="F109" s="20" t="s">
        <v>32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6" t="s">
        <v>170</v>
      </c>
      <c r="B110" s="4">
        <f>IFERROR(__xludf.DUMMYFUNCTION("IMPORTRANGE(""https://docs.google.com/spreadsheets/d/13zDiYSWN14dhBU8OxlbATFo4qBXba3m2YDRZbxsxouQ/edit?gid=0#gid=0"", ""CA71"")"),1124.0)</f>
        <v>1124</v>
      </c>
      <c r="C110" s="32" t="s">
        <v>148</v>
      </c>
      <c r="D110" s="4">
        <v>1.0</v>
      </c>
      <c r="E110" s="22" t="s">
        <v>51</v>
      </c>
      <c r="F110" s="9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6" t="s">
        <v>171</v>
      </c>
      <c r="B111" s="4">
        <f>IFERROR(__xludf.DUMMYFUNCTION("IMPORTRANGE(""https://docs.google.com/spreadsheets/d/13zDiYSWN14dhBU8OxlbATFo4qBXba3m2YDRZbxsxouQ/edit?gid=0#gid=0"", ""CA72"")"),1127.0)</f>
        <v>1127</v>
      </c>
      <c r="C111" s="32" t="s">
        <v>148</v>
      </c>
      <c r="D111" s="4">
        <v>3.0</v>
      </c>
      <c r="E111" s="22" t="s">
        <v>60</v>
      </c>
      <c r="F111" s="20" t="s">
        <v>37</v>
      </c>
      <c r="G111" s="20" t="s">
        <v>38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6" t="s">
        <v>172</v>
      </c>
      <c r="B112" s="4">
        <f>IFERROR(__xludf.DUMMYFUNCTION("IMPORTRANGE(""https://docs.google.com/spreadsheets/d/13zDiYSWN14dhBU8OxlbATFo4qBXba3m2YDRZbxsxouQ/edit?gid=0#gid=0"", ""CA74"")"),1131.0)</f>
        <v>1131</v>
      </c>
      <c r="C112" s="32" t="s">
        <v>148</v>
      </c>
      <c r="D112" s="4">
        <v>2.0</v>
      </c>
      <c r="E112" s="22" t="s">
        <v>173</v>
      </c>
      <c r="F112" s="20" t="s">
        <v>37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6" t="s">
        <v>174</v>
      </c>
      <c r="B113" s="4">
        <f>IFERROR(__xludf.DUMMYFUNCTION("IMPORTRANGE(""https://docs.google.com/spreadsheets/d/13zDiYSWN14dhBU8OxlbATFo4qBXba3m2YDRZbxsxouQ/edit?gid=0#gid=0"", ""CA116"")"),1132.0)</f>
        <v>1132</v>
      </c>
      <c r="C113" s="32" t="s">
        <v>148</v>
      </c>
      <c r="D113" s="8">
        <v>1.0</v>
      </c>
      <c r="E113" s="34" t="s">
        <v>32</v>
      </c>
      <c r="F113" s="10"/>
      <c r="G113" s="10"/>
      <c r="H113" s="9"/>
      <c r="I113" s="26"/>
      <c r="J113" s="9"/>
      <c r="K113" s="9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6" t="s">
        <v>175</v>
      </c>
      <c r="B114" s="4">
        <f>IFERROR(__xludf.DUMMYFUNCTION("IMPORTRANGE(""https://docs.google.com/spreadsheets/d/13zDiYSWN14dhBU8OxlbATFo4qBXba3m2YDRZbxsxouQ/edit?gid=0#gid=0"", ""CA180"")"),1134.0)</f>
        <v>1134</v>
      </c>
      <c r="C114" s="32" t="s">
        <v>148</v>
      </c>
      <c r="D114" s="4">
        <v>1.0</v>
      </c>
      <c r="E114" s="22" t="s">
        <v>13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6" t="s">
        <v>176</v>
      </c>
      <c r="B115" s="4">
        <f>IFERROR(__xludf.DUMMYFUNCTION("IMPORTRANGE(""https://docs.google.com/spreadsheets/d/13zDiYSWN14dhBU8OxlbATFo4qBXba3m2YDRZbxsxouQ/edit?gid=0#gid=0"", ""CA122"")"),1135.0)</f>
        <v>1135</v>
      </c>
      <c r="C115" s="32" t="s">
        <v>148</v>
      </c>
      <c r="D115" s="4">
        <v>1.0</v>
      </c>
      <c r="E115" s="22" t="s">
        <v>6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6" t="s">
        <v>177</v>
      </c>
      <c r="B116" s="4">
        <f>IFERROR(__xludf.DUMMYFUNCTION("IMPORTRANGE(""https://docs.google.com/spreadsheets/d/13zDiYSWN14dhBU8OxlbATFo4qBXba3m2YDRZbxsxouQ/edit?gid=0#gid=0"", ""CA75"")"),1136.0)</f>
        <v>1136</v>
      </c>
      <c r="C116" s="32" t="s">
        <v>148</v>
      </c>
      <c r="D116" s="4">
        <v>1.0</v>
      </c>
      <c r="E116" s="22" t="s">
        <v>13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6" t="s">
        <v>178</v>
      </c>
      <c r="B117" s="4">
        <f>IFERROR(__xludf.DUMMYFUNCTION("IMPORTRANGE(""https://docs.google.com/spreadsheets/d/13zDiYSWN14dhBU8OxlbATFo4qBXba3m2YDRZbxsxouQ/edit?gid=0#gid=0"", ""CA76"")"),1141.0)</f>
        <v>1141</v>
      </c>
      <c r="C117" s="32" t="s">
        <v>148</v>
      </c>
      <c r="D117" s="4">
        <v>2.0</v>
      </c>
      <c r="E117" s="22" t="s">
        <v>26</v>
      </c>
      <c r="F117" s="20" t="s">
        <v>64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6" t="s">
        <v>179</v>
      </c>
      <c r="B118" s="4">
        <f>IFERROR(__xludf.DUMMYFUNCTION("IMPORTRANGE(""https://docs.google.com/spreadsheets/d/13zDiYSWN14dhBU8OxlbATFo4qBXba3m2YDRZbxsxouQ/edit?gid=0#gid=0"", ""CA77"")"),1142.0)</f>
        <v>1142</v>
      </c>
      <c r="C118" s="32" t="s">
        <v>148</v>
      </c>
      <c r="D118" s="4">
        <v>5.0</v>
      </c>
      <c r="E118" s="22" t="s">
        <v>70</v>
      </c>
      <c r="F118" s="20" t="s">
        <v>51</v>
      </c>
      <c r="G118" s="20" t="s">
        <v>55</v>
      </c>
      <c r="H118" s="20" t="s">
        <v>73</v>
      </c>
      <c r="I118" s="20" t="s">
        <v>6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6" t="s">
        <v>180</v>
      </c>
      <c r="B119" s="4">
        <f>IFERROR(__xludf.DUMMYFUNCTION("IMPORTRANGE(""https://docs.google.com/spreadsheets/d/13zDiYSWN14dhBU8OxlbATFo4qBXba3m2YDRZbxsxouQ/edit?gid=0#gid=0"", ""CA121"")"),1147.0)</f>
        <v>1147</v>
      </c>
      <c r="C119" s="33" t="s">
        <v>169</v>
      </c>
      <c r="D119" s="4">
        <v>2.0</v>
      </c>
      <c r="E119" s="22" t="s">
        <v>26</v>
      </c>
      <c r="F119" s="20" t="s">
        <v>6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6" t="s">
        <v>181</v>
      </c>
      <c r="B120" s="4">
        <f>IFERROR(__xludf.DUMMYFUNCTION("IMPORTRANGE(""https://docs.google.com/spreadsheets/d/13zDiYSWN14dhBU8OxlbATFo4qBXba3m2YDRZbxsxouQ/edit?gid=0#gid=0"", ""CA79"")"),1156.0)</f>
        <v>1156</v>
      </c>
      <c r="C120" s="32" t="s">
        <v>148</v>
      </c>
      <c r="D120" s="4">
        <v>1.0</v>
      </c>
      <c r="E120" s="22" t="s">
        <v>21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6" t="s">
        <v>182</v>
      </c>
      <c r="B121" s="4">
        <f>IFERROR(__xludf.DUMMYFUNCTION("IMPORTRANGE(""https://docs.google.com/spreadsheets/d/13zDiYSWN14dhBU8OxlbATFo4qBXba3m2YDRZbxsxouQ/edit?gid=0#gid=0"", ""CA80"")"),1158.0)</f>
        <v>1158</v>
      </c>
      <c r="C121" s="32" t="s">
        <v>148</v>
      </c>
      <c r="D121" s="4">
        <v>4.0</v>
      </c>
      <c r="E121" s="26" t="s">
        <v>73</v>
      </c>
      <c r="F121" s="20" t="s">
        <v>70</v>
      </c>
      <c r="G121" s="20" t="s">
        <v>6</v>
      </c>
      <c r="H121" s="20" t="s">
        <v>64</v>
      </c>
      <c r="I121" s="11"/>
      <c r="J121" s="11"/>
      <c r="K121" s="9"/>
      <c r="L121" s="9"/>
      <c r="M121" s="9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6" t="s">
        <v>183</v>
      </c>
      <c r="B122" s="4">
        <f>IFERROR(__xludf.DUMMYFUNCTION("IMPORTRANGE(""https://docs.google.com/spreadsheets/d/13zDiYSWN14dhBU8OxlbATFo4qBXba3m2YDRZbxsxouQ/edit?gid=0#gid=0"", ""CA81"")"),1167.0)</f>
        <v>1167</v>
      </c>
      <c r="C122" s="33" t="s">
        <v>169</v>
      </c>
      <c r="D122" s="4">
        <v>1.0</v>
      </c>
      <c r="E122" s="22" t="s">
        <v>70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6" t="s">
        <v>184</v>
      </c>
      <c r="B123" s="4">
        <f>IFERROR(__xludf.DUMMYFUNCTION("IMPORTRANGE(""https://docs.google.com/spreadsheets/d/13zDiYSWN14dhBU8OxlbATFo4qBXba3m2YDRZbxsxouQ/edit?gid=0#gid=0"", ""CA82"")"),1169.0)</f>
        <v>1169</v>
      </c>
      <c r="C123" s="33" t="s">
        <v>169</v>
      </c>
      <c r="D123" s="4">
        <v>1.0</v>
      </c>
      <c r="E123" s="22" t="s">
        <v>27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6" t="s">
        <v>185</v>
      </c>
      <c r="B124" s="4">
        <f>IFERROR(__xludf.DUMMYFUNCTION("IMPORTRANGE(""https://docs.google.com/spreadsheets/d/13zDiYSWN14dhBU8OxlbATFo4qBXba3m2YDRZbxsxouQ/edit?gid=0#gid=0"", ""CA155"")"),1174.0)</f>
        <v>1174</v>
      </c>
      <c r="C124" s="32" t="s">
        <v>148</v>
      </c>
      <c r="D124" s="4">
        <v>1.0</v>
      </c>
      <c r="E124" s="22" t="s">
        <v>21</v>
      </c>
      <c r="F124" s="9"/>
      <c r="G124" s="9"/>
      <c r="H124" s="9"/>
      <c r="I124" s="9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6" t="s">
        <v>186</v>
      </c>
      <c r="B125" s="4">
        <f>IFERROR(__xludf.DUMMYFUNCTION("IMPORTRANGE(""https://docs.google.com/spreadsheets/d/13zDiYSWN14dhBU8OxlbATFo4qBXba3m2YDRZbxsxouQ/edit?gid=0#gid=0"", ""CA83"")"),1184.0)</f>
        <v>1184</v>
      </c>
      <c r="C125" s="33" t="s">
        <v>169</v>
      </c>
      <c r="D125" s="4">
        <v>5.0</v>
      </c>
      <c r="E125" s="22" t="s">
        <v>37</v>
      </c>
      <c r="F125" s="20" t="s">
        <v>51</v>
      </c>
      <c r="G125" s="20" t="s">
        <v>78</v>
      </c>
      <c r="H125" s="20" t="s">
        <v>6</v>
      </c>
      <c r="I125" s="6" t="s">
        <v>97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6" t="s">
        <v>187</v>
      </c>
      <c r="B126" s="4">
        <f>IFERROR(__xludf.DUMMYFUNCTION("IMPORTRANGE(""https://docs.google.com/spreadsheets/d/13zDiYSWN14dhBU8OxlbATFo4qBXba3m2YDRZbxsxouQ/edit?gid=0#gid=0"", ""CA136"")"),1185.0)</f>
        <v>1185</v>
      </c>
      <c r="C126" s="32" t="s">
        <v>148</v>
      </c>
      <c r="D126" s="8">
        <v>2.0</v>
      </c>
      <c r="E126" s="5" t="s">
        <v>188</v>
      </c>
      <c r="F126" s="20" t="s">
        <v>26</v>
      </c>
      <c r="G126" s="10"/>
      <c r="H126" s="10"/>
      <c r="I126" s="10"/>
      <c r="J126" s="9"/>
      <c r="K126" s="26"/>
      <c r="L126" s="9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6" t="s">
        <v>189</v>
      </c>
      <c r="B127" s="4">
        <f>IFERROR(__xludf.DUMMYFUNCTION("IMPORTRANGE(""https://docs.google.com/spreadsheets/d/13zDiYSWN14dhBU8OxlbATFo4qBXba3m2YDRZbxsxouQ/edit?gid=0#gid=0"", ""CA84"")"),1187.0)</f>
        <v>1187</v>
      </c>
      <c r="C127" s="32" t="s">
        <v>148</v>
      </c>
      <c r="D127" s="8">
        <v>9.0</v>
      </c>
      <c r="E127" s="9" t="s">
        <v>116</v>
      </c>
      <c r="F127" s="20" t="s">
        <v>37</v>
      </c>
      <c r="G127" s="10" t="s">
        <v>13</v>
      </c>
      <c r="H127" s="10" t="s">
        <v>27</v>
      </c>
      <c r="I127" s="20" t="s">
        <v>55</v>
      </c>
      <c r="J127" s="6" t="s">
        <v>6</v>
      </c>
      <c r="K127" s="20" t="s">
        <v>125</v>
      </c>
      <c r="L127" s="20" t="s">
        <v>114</v>
      </c>
      <c r="M127" s="6" t="s">
        <v>101</v>
      </c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6" t="s">
        <v>190</v>
      </c>
      <c r="B128" s="4">
        <f>IFERROR(__xludf.DUMMYFUNCTION("IMPORTRANGE(""https://docs.google.com/spreadsheets/d/13zDiYSWN14dhBU8OxlbATFo4qBXba3m2YDRZbxsxouQ/edit?gid=0#gid=0"", ""CA158"")"),1193.0)</f>
        <v>1193</v>
      </c>
      <c r="C128" s="32" t="s">
        <v>148</v>
      </c>
      <c r="D128" s="4">
        <v>2.0</v>
      </c>
      <c r="E128" s="5" t="s">
        <v>11</v>
      </c>
      <c r="F128" s="6" t="s">
        <v>21</v>
      </c>
    </row>
    <row r="129">
      <c r="A129" s="6" t="s">
        <v>191</v>
      </c>
      <c r="B129" s="4">
        <f>IFERROR(__xludf.DUMMYFUNCTION("IMPORTRANGE(""https://docs.google.com/spreadsheets/d/13zDiYSWN14dhBU8OxlbATFo4qBXba3m2YDRZbxsxouQ/edit?gid=0#gid=0"", ""CA164"")"),1203.0)</f>
        <v>1203</v>
      </c>
      <c r="C129" s="33" t="s">
        <v>169</v>
      </c>
      <c r="D129" s="8">
        <v>1.0</v>
      </c>
      <c r="E129" s="29" t="s">
        <v>114</v>
      </c>
      <c r="F129" s="10"/>
      <c r="G129" s="9"/>
      <c r="H129" s="9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6" t="s">
        <v>192</v>
      </c>
      <c r="B130" s="4">
        <f>IFERROR(__xludf.DUMMYFUNCTION("IMPORTRANGE(""https://docs.google.com/spreadsheets/d/13zDiYSWN14dhBU8OxlbATFo4qBXba3m2YDRZbxsxouQ/edit?gid=0#gid=0"", ""CA115"")"),1204.0)</f>
        <v>1204</v>
      </c>
      <c r="C130" s="33" t="s">
        <v>169</v>
      </c>
      <c r="D130" s="8">
        <v>1.0</v>
      </c>
      <c r="E130" s="29" t="s">
        <v>32</v>
      </c>
      <c r="F130" s="10"/>
      <c r="G130" s="9"/>
      <c r="H130" s="9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6" t="s">
        <v>193</v>
      </c>
      <c r="B131" s="4">
        <f>IFERROR(__xludf.DUMMYFUNCTION("IMPORTRANGE(""https://docs.google.com/spreadsheets/d/13zDiYSWN14dhBU8OxlbATFo4qBXba3m2YDRZbxsxouQ/edit?gid=0#gid=0"", ""CA150"")"),1207.0)</f>
        <v>1207</v>
      </c>
      <c r="C131" s="33" t="s">
        <v>169</v>
      </c>
      <c r="D131" s="8">
        <v>1.0</v>
      </c>
      <c r="E131" s="29" t="s">
        <v>26</v>
      </c>
      <c r="F131" s="10"/>
      <c r="G131" s="9"/>
      <c r="H131" s="9"/>
      <c r="I131" s="9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6" t="s">
        <v>194</v>
      </c>
      <c r="B132" s="4">
        <f>IFERROR(__xludf.DUMMYFUNCTION("IMPORTRANGE(""https://docs.google.com/spreadsheets/d/13zDiYSWN14dhBU8OxlbATFo4qBXba3m2YDRZbxsxouQ/edit?gid=0#gid=0"", ""CA85"")"),1213.0)</f>
        <v>1213</v>
      </c>
      <c r="C132" s="33" t="s">
        <v>169</v>
      </c>
      <c r="D132" s="8">
        <v>6.0</v>
      </c>
      <c r="E132" s="29" t="s">
        <v>27</v>
      </c>
      <c r="F132" s="10" t="s">
        <v>15</v>
      </c>
      <c r="G132" s="20" t="s">
        <v>26</v>
      </c>
      <c r="H132" s="20" t="s">
        <v>70</v>
      </c>
      <c r="I132" s="20" t="s">
        <v>6</v>
      </c>
      <c r="J132" s="20" t="s">
        <v>11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6" t="s">
        <v>195</v>
      </c>
      <c r="B133" s="4">
        <f>IFERROR(__xludf.DUMMYFUNCTION("IMPORTRANGE(""https://docs.google.com/spreadsheets/d/13zDiYSWN14dhBU8OxlbATFo4qBXba3m2YDRZbxsxouQ/edit?gid=0#gid=0"", ""CA181"")"),1220.0)</f>
        <v>1220</v>
      </c>
      <c r="C133" s="33" t="s">
        <v>169</v>
      </c>
      <c r="D133" s="8">
        <v>1.0</v>
      </c>
      <c r="E133" s="34" t="s">
        <v>27</v>
      </c>
      <c r="F133" s="10"/>
      <c r="G133" s="10"/>
      <c r="H133" s="9"/>
      <c r="I133" s="26"/>
      <c r="J133" s="9"/>
      <c r="K133" s="26"/>
      <c r="L133" s="9"/>
      <c r="M133" s="9"/>
      <c r="N133" s="9"/>
      <c r="O133" s="26"/>
      <c r="P133" s="9"/>
      <c r="Q133" s="9"/>
      <c r="R133" s="11"/>
      <c r="S133" s="11"/>
      <c r="T133" s="11"/>
      <c r="U133" s="11"/>
      <c r="V133" s="11"/>
    </row>
    <row r="134">
      <c r="A134" s="6" t="s">
        <v>196</v>
      </c>
      <c r="B134" s="4">
        <f>IFERROR(__xludf.DUMMYFUNCTION("IMPORTRANGE(""https://docs.google.com/spreadsheets/d/13zDiYSWN14dhBU8OxlbATFo4qBXba3m2YDRZbxsxouQ/edit?gid=0#gid=0"", ""CA167"")"),1221.0)</f>
        <v>1221</v>
      </c>
      <c r="C134" s="33" t="s">
        <v>169</v>
      </c>
      <c r="D134" s="8">
        <v>1.0</v>
      </c>
      <c r="E134" s="34" t="s">
        <v>32</v>
      </c>
      <c r="F134" s="10"/>
      <c r="G134" s="10"/>
      <c r="H134" s="9"/>
      <c r="I134" s="26"/>
      <c r="J134" s="9"/>
      <c r="K134" s="9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6" t="s">
        <v>197</v>
      </c>
      <c r="B135" s="4">
        <f>IFERROR(__xludf.DUMMYFUNCTION("IMPORTRANGE(""https://docs.google.com/spreadsheets/d/13zDiYSWN14dhBU8OxlbATFo4qBXba3m2YDRZbxsxouQ/edit?gid=0#gid=0"", ""CA86"")"),1223.0)</f>
        <v>1223</v>
      </c>
      <c r="C135" s="33" t="s">
        <v>169</v>
      </c>
      <c r="D135" s="8">
        <v>14.0</v>
      </c>
      <c r="E135" s="34" t="s">
        <v>23</v>
      </c>
      <c r="F135" s="10" t="s">
        <v>13</v>
      </c>
      <c r="G135" s="20" t="s">
        <v>37</v>
      </c>
      <c r="H135" s="6" t="s">
        <v>27</v>
      </c>
      <c r="I135" s="20" t="s">
        <v>70</v>
      </c>
      <c r="J135" s="6" t="s">
        <v>101</v>
      </c>
      <c r="K135" s="20" t="s">
        <v>51</v>
      </c>
      <c r="L135" s="20" t="s">
        <v>6</v>
      </c>
      <c r="M135" s="20" t="s">
        <v>30</v>
      </c>
      <c r="N135" s="6" t="s">
        <v>64</v>
      </c>
      <c r="O135" s="20" t="s">
        <v>26</v>
      </c>
      <c r="P135" s="20" t="s">
        <v>38</v>
      </c>
      <c r="Q135" s="6" t="s">
        <v>198</v>
      </c>
      <c r="R135" s="20" t="s">
        <v>39</v>
      </c>
      <c r="S135" s="11"/>
      <c r="T135" s="11"/>
      <c r="U135" s="11"/>
      <c r="V135" s="11"/>
    </row>
    <row r="136">
      <c r="A136" s="6" t="s">
        <v>199</v>
      </c>
      <c r="B136" s="4">
        <f>IFERROR(__xludf.DUMMYFUNCTION("IMPORTRANGE(""https://docs.google.com/spreadsheets/d/13zDiYSWN14dhBU8OxlbATFo4qBXba3m2YDRZbxsxouQ/edit?gid=0#gid=0"", ""CA87"")"),1236.0)</f>
        <v>1236</v>
      </c>
      <c r="C136" s="33" t="s">
        <v>169</v>
      </c>
      <c r="D136" s="8">
        <v>11.0</v>
      </c>
      <c r="E136" s="5" t="s">
        <v>34</v>
      </c>
      <c r="F136" s="18" t="s">
        <v>51</v>
      </c>
      <c r="G136" s="10" t="s">
        <v>13</v>
      </c>
      <c r="H136" s="10" t="s">
        <v>37</v>
      </c>
      <c r="I136" s="10" t="s">
        <v>116</v>
      </c>
      <c r="J136" s="20" t="s">
        <v>78</v>
      </c>
      <c r="K136" s="20" t="s">
        <v>6</v>
      </c>
      <c r="L136" s="20" t="s">
        <v>27</v>
      </c>
      <c r="M136" s="20" t="s">
        <v>119</v>
      </c>
      <c r="N136" s="20" t="s">
        <v>97</v>
      </c>
      <c r="P136" s="11"/>
      <c r="Q136" s="11"/>
      <c r="R136" s="11"/>
      <c r="S136" s="11"/>
      <c r="T136" s="11"/>
      <c r="U136" s="11"/>
      <c r="V136" s="11"/>
    </row>
    <row r="137">
      <c r="A137" s="6" t="s">
        <v>200</v>
      </c>
      <c r="B137" s="4">
        <f>IFERROR(__xludf.DUMMYFUNCTION("IMPORTRANGE(""https://docs.google.com/spreadsheets/d/13zDiYSWN14dhBU8OxlbATFo4qBXba3m2YDRZbxsxouQ/edit?gid=0#gid=0"", ""CA88"")"),1239.0)</f>
        <v>1239</v>
      </c>
      <c r="C137" s="33" t="s">
        <v>169</v>
      </c>
      <c r="D137" s="4">
        <v>1.0</v>
      </c>
      <c r="E137" s="22" t="s">
        <v>34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6" t="s">
        <v>201</v>
      </c>
      <c r="B138" s="4">
        <f>IFERROR(__xludf.DUMMYFUNCTION("IMPORTRANGE(""https://docs.google.com/spreadsheets/d/13zDiYSWN14dhBU8OxlbATFo4qBXba3m2YDRZbxsxouQ/edit?gid=0#gid=0"", ""CA132"")"),1240.0)</f>
        <v>1240</v>
      </c>
      <c r="C138" s="33" t="s">
        <v>169</v>
      </c>
      <c r="D138" s="4">
        <v>1.0</v>
      </c>
      <c r="E138" s="22" t="s">
        <v>6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ht="15.75" customHeight="1">
      <c r="A139" s="6" t="s">
        <v>202</v>
      </c>
      <c r="B139" s="4">
        <f>IFERROR(__xludf.DUMMYFUNCTION("IMPORTRANGE(""https://docs.google.com/spreadsheets/d/13zDiYSWN14dhBU8OxlbATFo4qBXba3m2YDRZbxsxouQ/edit?gid=0#gid=0"", ""CA109"")"),1263.0)</f>
        <v>1263</v>
      </c>
      <c r="C139" s="33" t="s">
        <v>169</v>
      </c>
      <c r="D139" s="4">
        <v>1.0</v>
      </c>
      <c r="E139" s="22" t="s">
        <v>34</v>
      </c>
      <c r="F139" s="11"/>
      <c r="G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6" t="s">
        <v>203</v>
      </c>
      <c r="B140" s="4">
        <f>IFERROR(__xludf.DUMMYFUNCTION("IMPORTRANGE(""https://docs.google.com/spreadsheets/d/13zDiYSWN14dhBU8OxlbATFo4qBXba3m2YDRZbxsxouQ/edit?gid=0#gid=0"", ""CA94"")"),1265.0)</f>
        <v>1265</v>
      </c>
      <c r="C140" s="33" t="s">
        <v>169</v>
      </c>
      <c r="D140" s="4">
        <v>2.0</v>
      </c>
      <c r="E140" s="5" t="s">
        <v>34</v>
      </c>
      <c r="F140" s="6" t="s">
        <v>26</v>
      </c>
    </row>
    <row r="141">
      <c r="A141" s="6" t="s">
        <v>204</v>
      </c>
      <c r="B141" s="4">
        <f>IFERROR(__xludf.DUMMYFUNCTION("IMPORTRANGE(""https://docs.google.com/spreadsheets/d/13zDiYSWN14dhBU8OxlbATFo4qBXba3m2YDRZbxsxouQ/edit?gid=0#gid=0"", ""CA89"")"),1266.0)</f>
        <v>1266</v>
      </c>
      <c r="C141" s="33" t="s">
        <v>169</v>
      </c>
      <c r="D141" s="4">
        <v>1.0</v>
      </c>
      <c r="E141" s="22" t="s">
        <v>37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6" t="s">
        <v>205</v>
      </c>
      <c r="B142" s="4">
        <f>IFERROR(__xludf.DUMMYFUNCTION("IMPORTRANGE(""https://docs.google.com/spreadsheets/d/13zDiYSWN14dhBU8OxlbATFo4qBXba3m2YDRZbxsxouQ/edit?gid=0#gid=0"", ""CA90"")"),1269.0)</f>
        <v>1269</v>
      </c>
      <c r="C142" s="33" t="s">
        <v>169</v>
      </c>
      <c r="D142" s="4">
        <v>2.0</v>
      </c>
      <c r="E142" s="29" t="s">
        <v>51</v>
      </c>
      <c r="F142" s="20" t="s">
        <v>6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6" t="s">
        <v>206</v>
      </c>
      <c r="B143" s="4">
        <f>IFERROR(__xludf.DUMMYFUNCTION("IMPORTRANGE(""https://docs.google.com/spreadsheets/d/13zDiYSWN14dhBU8OxlbATFo4qBXba3m2YDRZbxsxouQ/edit?gid=0#gid=0"", ""CA91"")"),1275.0)</f>
        <v>1275</v>
      </c>
      <c r="C143" s="33" t="s">
        <v>169</v>
      </c>
      <c r="D143" s="4">
        <v>2.0</v>
      </c>
      <c r="E143" s="22" t="s">
        <v>37</v>
      </c>
      <c r="F143" s="20" t="s">
        <v>13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6" t="s">
        <v>207</v>
      </c>
      <c r="B144" s="4">
        <f>IFERROR(__xludf.DUMMYFUNCTION("IMPORTRANGE(""https://docs.google.com/spreadsheets/d/13zDiYSWN14dhBU8OxlbATFo4qBXba3m2YDRZbxsxouQ/edit?gid=0#gid=0"", ""CA148"")"),1276.0)</f>
        <v>1276</v>
      </c>
      <c r="C144" s="33" t="s">
        <v>169</v>
      </c>
      <c r="D144" s="8">
        <v>1.0</v>
      </c>
      <c r="E144" s="9" t="s">
        <v>44</v>
      </c>
      <c r="F144" s="10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6" t="s">
        <v>208</v>
      </c>
      <c r="B145" s="4">
        <f>IFERROR(__xludf.DUMMYFUNCTION("IMPORTRANGE(""https://docs.google.com/spreadsheets/d/13zDiYSWN14dhBU8OxlbATFo4qBXba3m2YDRZbxsxouQ/edit?gid=0#gid=0"", ""CA131"")"),1283.0)</f>
        <v>1283</v>
      </c>
      <c r="C145" s="33" t="s">
        <v>169</v>
      </c>
      <c r="D145" s="8">
        <v>1.0</v>
      </c>
      <c r="E145" s="9" t="s">
        <v>6</v>
      </c>
      <c r="F145" s="10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6" t="s">
        <v>209</v>
      </c>
      <c r="B146" s="4">
        <f>IFERROR(__xludf.DUMMYFUNCTION("IMPORTRANGE(""https://docs.google.com/spreadsheets/d/13zDiYSWN14dhBU8OxlbATFo4qBXba3m2YDRZbxsxouQ/edit?gid=0#gid=0"", ""CA162"")"),1287.0)</f>
        <v>1287</v>
      </c>
      <c r="C146" s="33" t="s">
        <v>169</v>
      </c>
      <c r="D146" s="8">
        <v>1.0</v>
      </c>
      <c r="E146" s="9" t="s">
        <v>116</v>
      </c>
      <c r="F146" s="14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6" t="s">
        <v>210</v>
      </c>
      <c r="B147" s="4">
        <f>IFERROR(__xludf.DUMMYFUNCTION("IMPORTRANGE(""https://docs.google.com/spreadsheets/d/13zDiYSWN14dhBU8OxlbATFo4qBXba3m2YDRZbxsxouQ/edit?gid=0#gid=0"", ""CA118"")"),1294.0)</f>
        <v>1294</v>
      </c>
      <c r="C147" s="33" t="s">
        <v>169</v>
      </c>
      <c r="D147" s="8">
        <v>2.0</v>
      </c>
      <c r="E147" s="9" t="s">
        <v>32</v>
      </c>
      <c r="F147" s="18" t="s">
        <v>6</v>
      </c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6" t="s">
        <v>211</v>
      </c>
      <c r="B148" s="4">
        <f>IFERROR(__xludf.DUMMYFUNCTION("IMPORTRANGE(""https://docs.google.com/spreadsheets/d/13zDiYSWN14dhBU8OxlbATFo4qBXba3m2YDRZbxsxouQ/edit?gid=0#gid=0"", ""CA127"")"),1297.0)</f>
        <v>1297</v>
      </c>
      <c r="C148" s="33" t="s">
        <v>169</v>
      </c>
      <c r="D148" s="8">
        <v>1.0</v>
      </c>
      <c r="E148" s="9" t="s">
        <v>6</v>
      </c>
      <c r="F148" s="10"/>
      <c r="G148" s="10"/>
      <c r="H148" s="10"/>
      <c r="I148" s="9"/>
      <c r="J148" s="9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6" t="s">
        <v>212</v>
      </c>
      <c r="B149" s="4">
        <f>IFERROR(__xludf.DUMMYFUNCTION("IMPORTRANGE(""https://docs.google.com/spreadsheets/d/13zDiYSWN14dhBU8OxlbATFo4qBXba3m2YDRZbxsxouQ/edit?gid=0#gid=0"", ""CA114"")"),1299.0)</f>
        <v>1299</v>
      </c>
      <c r="C149" s="33" t="s">
        <v>169</v>
      </c>
      <c r="D149" s="4">
        <v>1.0</v>
      </c>
      <c r="E149" s="22" t="s">
        <v>32</v>
      </c>
      <c r="F149" s="9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6" t="s">
        <v>213</v>
      </c>
      <c r="B150" s="4">
        <f>IFERROR(__xludf.DUMMYFUNCTION("IMPORTRANGE(""https://docs.google.com/spreadsheets/d/13zDiYSWN14dhBU8OxlbATFo4qBXba3m2YDRZbxsxouQ/edit?gid=0#gid=0"", ""CA128"")"),1302.0)</f>
        <v>1302</v>
      </c>
      <c r="C150" s="33" t="s">
        <v>169</v>
      </c>
      <c r="D150" s="4">
        <v>1.0</v>
      </c>
      <c r="E150" s="22" t="s">
        <v>6</v>
      </c>
      <c r="F150" s="9"/>
      <c r="G150" s="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6" t="s">
        <v>214</v>
      </c>
      <c r="B151" s="4">
        <f>IFERROR(__xludf.DUMMYFUNCTION("IMPORTRANGE(""https://docs.google.com/spreadsheets/d/13zDiYSWN14dhBU8OxlbATFo4qBXba3m2YDRZbxsxouQ/edit?gid=0#gid=0"", ""CA93"")"),1311.0)</f>
        <v>1311</v>
      </c>
      <c r="C151" s="33" t="s">
        <v>169</v>
      </c>
      <c r="D151" s="4">
        <v>4.0</v>
      </c>
      <c r="E151" s="22" t="s">
        <v>73</v>
      </c>
      <c r="F151" s="20" t="s">
        <v>70</v>
      </c>
      <c r="G151" s="20" t="s">
        <v>6</v>
      </c>
      <c r="H151" s="20" t="s">
        <v>11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6" t="s">
        <v>215</v>
      </c>
      <c r="B152" s="4">
        <f>IFERROR(__xludf.DUMMYFUNCTION("IMPORTRANGE(""https://docs.google.com/spreadsheets/d/13zDiYSWN14dhBU8OxlbATFo4qBXba3m2YDRZbxsxouQ/edit?gid=0#gid=0"", ""CA99"")"),1318.0)</f>
        <v>1318</v>
      </c>
      <c r="C152" s="33" t="s">
        <v>169</v>
      </c>
      <c r="D152" s="8">
        <v>2.0</v>
      </c>
      <c r="E152" s="9" t="s">
        <v>70</v>
      </c>
      <c r="F152" s="18" t="s">
        <v>216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6" t="s">
        <v>217</v>
      </c>
      <c r="B153" s="4">
        <f>IFERROR(__xludf.DUMMYFUNCTION("IMPORTRANGE(""https://docs.google.com/spreadsheets/d/13zDiYSWN14dhBU8OxlbATFo4qBXba3m2YDRZbxsxouQ/edit?gid=0#gid=0"", ""CA96"")"),1320.0)</f>
        <v>1320</v>
      </c>
      <c r="C153" s="33" t="s">
        <v>169</v>
      </c>
      <c r="D153" s="8">
        <v>7.0</v>
      </c>
      <c r="E153" s="16" t="s">
        <v>37</v>
      </c>
      <c r="F153" s="20" t="s">
        <v>70</v>
      </c>
      <c r="G153" s="20" t="s">
        <v>140</v>
      </c>
      <c r="H153" s="6" t="s">
        <v>39</v>
      </c>
      <c r="I153" s="6" t="s">
        <v>6</v>
      </c>
      <c r="J153" s="20" t="s">
        <v>30</v>
      </c>
      <c r="K153" s="20" t="s">
        <v>13</v>
      </c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6" t="s">
        <v>218</v>
      </c>
      <c r="B154" s="4">
        <f>IFERROR(__xludf.DUMMYFUNCTION("IMPORTRANGE(""https://docs.google.com/spreadsheets/d/13zDiYSWN14dhBU8OxlbATFo4qBXba3m2YDRZbxsxouQ/edit?gid=0#gid=0"", ""CA124"")"),1322.0)</f>
        <v>1322</v>
      </c>
      <c r="C154" s="33" t="s">
        <v>169</v>
      </c>
      <c r="D154" s="4">
        <v>1.0</v>
      </c>
      <c r="E154" s="9" t="s">
        <v>6</v>
      </c>
      <c r="F154" s="14"/>
      <c r="G154" s="14"/>
      <c r="H154" s="10"/>
      <c r="I154" s="10"/>
      <c r="J154" s="10"/>
      <c r="K154" s="26"/>
      <c r="L154" s="10"/>
      <c r="M154" s="10"/>
      <c r="N154" s="10"/>
      <c r="O154" s="10"/>
      <c r="P154" s="10"/>
      <c r="Q154" s="9"/>
      <c r="R154" s="9"/>
      <c r="S154" s="9"/>
      <c r="T154" s="26"/>
      <c r="U154" s="9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</row>
    <row r="155">
      <c r="A155" s="6" t="s">
        <v>219</v>
      </c>
      <c r="B155" s="4">
        <f>IFERROR(__xludf.DUMMYFUNCTION("IMPORTRANGE(""https://docs.google.com/spreadsheets/d/13zDiYSWN14dhBU8OxlbATFo4qBXba3m2YDRZbxsxouQ/edit?gid=0#gid=0"", ""CA97"")"),1340.0)</f>
        <v>1340</v>
      </c>
      <c r="C155" s="33" t="s">
        <v>169</v>
      </c>
      <c r="D155" s="4">
        <v>36.0</v>
      </c>
      <c r="E155" s="9" t="s">
        <v>220</v>
      </c>
      <c r="F155" s="10" t="s">
        <v>221</v>
      </c>
      <c r="G155" s="10" t="s">
        <v>34</v>
      </c>
      <c r="H155" s="10" t="s">
        <v>23</v>
      </c>
      <c r="I155" s="10" t="s">
        <v>116</v>
      </c>
      <c r="J155" s="6" t="s">
        <v>27</v>
      </c>
      <c r="K155" s="10" t="s">
        <v>15</v>
      </c>
      <c r="L155" s="10" t="s">
        <v>37</v>
      </c>
      <c r="M155" s="10" t="s">
        <v>117</v>
      </c>
      <c r="N155" s="10" t="s">
        <v>118</v>
      </c>
      <c r="O155" s="10" t="s">
        <v>13</v>
      </c>
      <c r="P155" s="20" t="s">
        <v>222</v>
      </c>
      <c r="Q155" s="20" t="s">
        <v>140</v>
      </c>
      <c r="R155" s="20" t="s">
        <v>70</v>
      </c>
      <c r="S155" s="6" t="s">
        <v>44</v>
      </c>
      <c r="T155" s="20" t="s">
        <v>223</v>
      </c>
      <c r="U155" s="6" t="s">
        <v>224</v>
      </c>
      <c r="V155" s="6" t="s">
        <v>55</v>
      </c>
      <c r="W155" s="6" t="s">
        <v>26</v>
      </c>
      <c r="X155" s="6" t="s">
        <v>101</v>
      </c>
      <c r="Y155" s="6" t="s">
        <v>21</v>
      </c>
      <c r="Z155" s="6" t="s">
        <v>78</v>
      </c>
      <c r="AA155" s="6" t="s">
        <v>51</v>
      </c>
      <c r="AB155" s="6" t="s">
        <v>6</v>
      </c>
      <c r="AC155" s="6" t="s">
        <v>30</v>
      </c>
      <c r="AD155" s="6" t="s">
        <v>125</v>
      </c>
      <c r="AE155" s="6" t="s">
        <v>29</v>
      </c>
      <c r="AF155" s="6" t="s">
        <v>225</v>
      </c>
      <c r="AG155" s="6" t="s">
        <v>64</v>
      </c>
      <c r="AH155" s="6" t="s">
        <v>120</v>
      </c>
      <c r="AI155" s="6" t="s">
        <v>226</v>
      </c>
      <c r="AJ155" s="6" t="s">
        <v>114</v>
      </c>
      <c r="AK155" s="6" t="s">
        <v>119</v>
      </c>
      <c r="AL155" s="6" t="s">
        <v>60</v>
      </c>
      <c r="AM155" s="6" t="s">
        <v>39</v>
      </c>
      <c r="AN155" s="6" t="s">
        <v>198</v>
      </c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</row>
    <row r="156">
      <c r="A156" s="6" t="s">
        <v>227</v>
      </c>
      <c r="B156" s="4">
        <f>IFERROR(__xludf.DUMMYFUNCTION("IMPORTRANGE(""https://docs.google.com/spreadsheets/d/13zDiYSWN14dhBU8OxlbATFo4qBXba3m2YDRZbxsxouQ/edit?gid=0#gid=0"", ""CA98"")"),1342.0)</f>
        <v>1342</v>
      </c>
      <c r="C156" s="33" t="s">
        <v>169</v>
      </c>
      <c r="D156" s="4">
        <v>2.0</v>
      </c>
      <c r="E156" s="22" t="s">
        <v>27</v>
      </c>
      <c r="F156" s="20" t="s">
        <v>21</v>
      </c>
      <c r="G156" s="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6" t="s">
        <v>228</v>
      </c>
      <c r="B157" s="4">
        <f>IFERROR(__xludf.DUMMYFUNCTION("IMPORTRANGE(""https://docs.google.com/spreadsheets/d/13zDiYSWN14dhBU8OxlbATFo4qBXba3m2YDRZbxsxouQ/edit?gid=0#gid=0"", ""CA173"")"),1349.0)</f>
        <v>1349</v>
      </c>
      <c r="C157" s="33" t="s">
        <v>169</v>
      </c>
      <c r="D157" s="8">
        <v>1.0</v>
      </c>
      <c r="E157" s="9" t="s">
        <v>6</v>
      </c>
      <c r="F157" s="14"/>
      <c r="G157" s="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6" t="s">
        <v>229</v>
      </c>
      <c r="B158" s="4">
        <f>IFERROR(__xludf.DUMMYFUNCTION("IMPORTRANGE(""https://docs.google.com/spreadsheets/d/13zDiYSWN14dhBU8OxlbATFo4qBXba3m2YDRZbxsxouQ/edit?gid=0#gid=0"", ""CA100"")"),1352.0)</f>
        <v>1352</v>
      </c>
      <c r="C158" s="33" t="s">
        <v>169</v>
      </c>
      <c r="D158" s="8">
        <v>3.0</v>
      </c>
      <c r="E158" s="9" t="s">
        <v>225</v>
      </c>
      <c r="F158" s="18" t="s">
        <v>32</v>
      </c>
      <c r="G158" s="20" t="s">
        <v>37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6" t="s">
        <v>230</v>
      </c>
      <c r="B159" s="4">
        <f>IFERROR(__xludf.DUMMYFUNCTION("IMPORTRANGE(""https://docs.google.com/spreadsheets/d/13zDiYSWN14dhBU8OxlbATFo4qBXba3m2YDRZbxsxouQ/edit?gid=0#gid=0"", ""CA168"")"),1354.0)</f>
        <v>1354</v>
      </c>
      <c r="C159" s="33" t="s">
        <v>169</v>
      </c>
      <c r="D159" s="8">
        <v>1.0</v>
      </c>
      <c r="E159" s="16" t="s">
        <v>37</v>
      </c>
      <c r="F159" s="9"/>
      <c r="G159" s="9"/>
      <c r="H159" s="9"/>
      <c r="I159" s="9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6" t="s">
        <v>231</v>
      </c>
      <c r="B160" s="4">
        <f>IFERROR(__xludf.DUMMYFUNCTION("IMPORTRANGE(""https://docs.google.com/spreadsheets/d/13zDiYSWN14dhBU8OxlbATFo4qBXba3m2YDRZbxsxouQ/edit?gid=0#gid=0"", ""CA92"")"),1357.0)</f>
        <v>1357</v>
      </c>
      <c r="C160" s="33" t="s">
        <v>169</v>
      </c>
      <c r="D160" s="8">
        <v>3.0</v>
      </c>
      <c r="E160" s="9" t="s">
        <v>23</v>
      </c>
      <c r="F160" s="10" t="s">
        <v>117</v>
      </c>
      <c r="G160" s="20" t="s">
        <v>6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6" t="s">
        <v>232</v>
      </c>
      <c r="B161" s="4">
        <f>IFERROR(__xludf.DUMMYFUNCTION("IMPORTRANGE(""https://docs.google.com/spreadsheets/d/13zDiYSWN14dhBU8OxlbATFo4qBXba3m2YDRZbxsxouQ/edit?gid=0#gid=0"", ""CA175"")"),1359.0)</f>
        <v>1359</v>
      </c>
      <c r="C161" s="33" t="s">
        <v>169</v>
      </c>
      <c r="D161" s="8">
        <v>1.0</v>
      </c>
      <c r="E161" s="16" t="s">
        <v>32</v>
      </c>
      <c r="F161" s="9"/>
      <c r="G161" s="9"/>
      <c r="H161" s="9"/>
      <c r="I161" s="9"/>
      <c r="J161" s="26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6" t="s">
        <v>112</v>
      </c>
      <c r="B162" s="4">
        <f>IFERROR(__xludf.DUMMYFUNCTION("IMPORTRANGE(""https://docs.google.com/spreadsheets/d/13zDiYSWN14dhBU8OxlbATFo4qBXba3m2YDRZbxsxouQ/edit?gid=0#gid=0"", ""CA101"")"),1363.0)</f>
        <v>1363</v>
      </c>
      <c r="C162" s="33" t="s">
        <v>169</v>
      </c>
      <c r="D162" s="8">
        <v>6.0</v>
      </c>
      <c r="E162" s="16" t="s">
        <v>13</v>
      </c>
      <c r="F162" s="20" t="s">
        <v>27</v>
      </c>
      <c r="G162" s="20" t="s">
        <v>39</v>
      </c>
      <c r="H162" s="20" t="s">
        <v>6</v>
      </c>
      <c r="I162" s="20" t="s">
        <v>233</v>
      </c>
      <c r="J162" s="6" t="s">
        <v>11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6" t="s">
        <v>234</v>
      </c>
      <c r="B163" s="4">
        <f>IFERROR(__xludf.DUMMYFUNCTION("IMPORTRANGE(""https://docs.google.com/spreadsheets/d/13zDiYSWN14dhBU8OxlbATFo4qBXba3m2YDRZbxsxouQ/edit?gid=0#gid=0"", ""CA102"")"),1365.0)</f>
        <v>1365</v>
      </c>
      <c r="C163" s="33" t="s">
        <v>169</v>
      </c>
      <c r="D163" s="8">
        <v>1.0</v>
      </c>
      <c r="E163" s="9" t="s">
        <v>21</v>
      </c>
      <c r="F163" s="10"/>
      <c r="G163" s="10"/>
      <c r="H163" s="10"/>
      <c r="I163" s="9"/>
      <c r="J163" s="9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6" t="s">
        <v>235</v>
      </c>
      <c r="B164" s="4">
        <f>IFERROR(__xludf.DUMMYFUNCTION("IMPORTRANGE(""https://docs.google.com/spreadsheets/d/13zDiYSWN14dhBU8OxlbATFo4qBXba3m2YDRZbxsxouQ/edit?gid=0#gid=0"", ""CA106"")"),1367.0)</f>
        <v>1367</v>
      </c>
      <c r="C164" s="33" t="s">
        <v>169</v>
      </c>
      <c r="D164" s="4">
        <v>1.0</v>
      </c>
      <c r="E164" s="5" t="s">
        <v>21</v>
      </c>
      <c r="F164" s="9"/>
      <c r="G164" s="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6" t="s">
        <v>236</v>
      </c>
      <c r="B165" s="4">
        <f>IFERROR(__xludf.DUMMYFUNCTION("IMPORTRANGE(""https://docs.google.com/spreadsheets/d/13zDiYSWN14dhBU8OxlbATFo4qBXba3m2YDRZbxsxouQ/edit?gid=0#gid=0"", ""CA151"")"),1309.0)</f>
        <v>1309</v>
      </c>
      <c r="C165" s="33" t="s">
        <v>169</v>
      </c>
      <c r="D165" s="4">
        <v>1.0</v>
      </c>
      <c r="E165" s="22" t="s">
        <v>6</v>
      </c>
      <c r="F165" s="9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6" t="s">
        <v>237</v>
      </c>
      <c r="B166" s="4">
        <f>IFERROR(__xludf.DUMMYFUNCTION("IMPORTRANGE(""https://docs.google.com/spreadsheets/d/13zDiYSWN14dhBU8OxlbATFo4qBXba3m2YDRZbxsxouQ/edit?gid=0#gid=0"", ""CA113"")"),1380.0)</f>
        <v>1380</v>
      </c>
      <c r="C166" s="33" t="s">
        <v>169</v>
      </c>
      <c r="D166" s="4">
        <v>2.0</v>
      </c>
      <c r="E166" s="22" t="s">
        <v>32</v>
      </c>
      <c r="F166" s="20" t="s">
        <v>6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6" t="s">
        <v>238</v>
      </c>
      <c r="B167" s="4">
        <f>IFERROR(__xludf.DUMMYFUNCTION("IMPORTRANGE(""https://docs.google.com/spreadsheets/d/13zDiYSWN14dhBU8OxlbATFo4qBXba3m2YDRZbxsxouQ/edit?gid=0#gid=0"", ""CA103"")"),1382.0)</f>
        <v>1382</v>
      </c>
      <c r="C167" s="33" t="s">
        <v>169</v>
      </c>
      <c r="D167" s="4">
        <v>2.0</v>
      </c>
      <c r="E167" s="22" t="s">
        <v>37</v>
      </c>
      <c r="F167" s="20" t="s">
        <v>38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6" t="s">
        <v>239</v>
      </c>
      <c r="B168" s="4">
        <f>IFERROR(__xludf.DUMMYFUNCTION("IMPORTRANGE(""https://docs.google.com/spreadsheets/d/13zDiYSWN14dhBU8OxlbATFo4qBXba3m2YDRZbxsxouQ/edit?gid=0#gid=0"", ""CA104"")"),1383.0)</f>
        <v>1383</v>
      </c>
      <c r="C168" s="33" t="s">
        <v>169</v>
      </c>
      <c r="D168" s="4">
        <v>2.0</v>
      </c>
      <c r="E168" s="22" t="s">
        <v>27</v>
      </c>
      <c r="F168" s="20" t="s">
        <v>6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6" t="s">
        <v>240</v>
      </c>
      <c r="B169" s="4">
        <f>IFERROR(__xludf.DUMMYFUNCTION("IMPORTRANGE(""https://docs.google.com/spreadsheets/d/13zDiYSWN14dhBU8OxlbATFo4qBXba3m2YDRZbxsxouQ/edit?gid=0#gid=0"", ""CA105"")"),1385.0)</f>
        <v>1385</v>
      </c>
      <c r="C169" s="33" t="s">
        <v>169</v>
      </c>
      <c r="D169" s="8">
        <v>11.0</v>
      </c>
      <c r="E169" s="16" t="s">
        <v>37</v>
      </c>
      <c r="F169" s="10" t="s">
        <v>125</v>
      </c>
      <c r="G169" s="10" t="s">
        <v>27</v>
      </c>
      <c r="H169" s="20" t="s">
        <v>241</v>
      </c>
      <c r="I169" s="20" t="s">
        <v>39</v>
      </c>
      <c r="J169" s="20" t="s">
        <v>26</v>
      </c>
      <c r="K169" s="20" t="s">
        <v>38</v>
      </c>
      <c r="L169" s="20" t="s">
        <v>29</v>
      </c>
      <c r="M169" s="20" t="s">
        <v>60</v>
      </c>
      <c r="N169" s="20" t="s">
        <v>6</v>
      </c>
      <c r="O169" s="20" t="s">
        <v>13</v>
      </c>
      <c r="Q169" s="11"/>
      <c r="R169" s="11"/>
      <c r="S169" s="11"/>
      <c r="T169" s="11"/>
      <c r="U169" s="11"/>
      <c r="V169" s="11"/>
    </row>
    <row r="170">
      <c r="A170" s="6" t="s">
        <v>242</v>
      </c>
      <c r="B170" s="4">
        <f>IFERROR(__xludf.DUMMYFUNCTION("IMPORTRANGE(""https://docs.google.com/spreadsheets/d/13zDiYSWN14dhBU8OxlbATFo4qBXba3m2YDRZbxsxouQ/edit?gid=0#gid=0"", ""CA112"")"),1386.0)</f>
        <v>1386</v>
      </c>
      <c r="C170" s="33" t="s">
        <v>169</v>
      </c>
      <c r="D170" s="4">
        <v>1.0</v>
      </c>
      <c r="E170" s="22" t="s">
        <v>116</v>
      </c>
      <c r="F170" s="9"/>
      <c r="G170" s="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6" t="s">
        <v>243</v>
      </c>
      <c r="B171" s="4">
        <f>IFERROR(__xludf.DUMMYFUNCTION("IMPORTRANGE(""https://docs.google.com/spreadsheets/d/13zDiYSWN14dhBU8OxlbATFo4qBXba3m2YDRZbxsxouQ/edit?gid=0#gid=0"", ""CA120"")"),1392.0)</f>
        <v>1392</v>
      </c>
      <c r="C171" s="33" t="s">
        <v>169</v>
      </c>
      <c r="D171" s="4">
        <v>2.0</v>
      </c>
      <c r="E171" s="22" t="s">
        <v>39</v>
      </c>
      <c r="F171" s="20" t="s">
        <v>6</v>
      </c>
      <c r="G171" s="9"/>
      <c r="H171" s="9"/>
      <c r="I171" s="9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6" t="s">
        <v>244</v>
      </c>
      <c r="B172" s="4">
        <f>IFERROR(__xludf.DUMMYFUNCTION("IMPORTRANGE(""https://docs.google.com/spreadsheets/d/13zDiYSWN14dhBU8OxlbATFo4qBXba3m2YDRZbxsxouQ/edit?gid=0#gid=0"", ""CA107"")"),1411.0)</f>
        <v>1411</v>
      </c>
      <c r="C172" s="33" t="s">
        <v>169</v>
      </c>
      <c r="D172" s="4">
        <v>5.0</v>
      </c>
      <c r="E172" s="22" t="s">
        <v>114</v>
      </c>
      <c r="F172" s="20" t="s">
        <v>245</v>
      </c>
      <c r="G172" s="20" t="s">
        <v>27</v>
      </c>
      <c r="H172" s="20" t="s">
        <v>60</v>
      </c>
      <c r="I172" s="20" t="s">
        <v>37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6" t="s">
        <v>246</v>
      </c>
      <c r="B173" s="4">
        <f>IFERROR(__xludf.DUMMYFUNCTION("IMPORTRANGE(""https://docs.google.com/spreadsheets/d/13zDiYSWN14dhBU8OxlbATFo4qBXba3m2YDRZbxsxouQ/edit?gid=0#gid=0"", ""CA117"")"),1421.0)</f>
        <v>1421</v>
      </c>
      <c r="C173" s="33" t="s">
        <v>169</v>
      </c>
      <c r="D173" s="4">
        <v>5.0</v>
      </c>
      <c r="E173" s="16" t="s">
        <v>13</v>
      </c>
      <c r="F173" s="18" t="s">
        <v>51</v>
      </c>
      <c r="G173" s="18" t="s">
        <v>39</v>
      </c>
      <c r="H173" s="6" t="s">
        <v>60</v>
      </c>
      <c r="I173" s="18" t="s">
        <v>198</v>
      </c>
      <c r="J173" s="10"/>
      <c r="K173" s="26"/>
      <c r="L173" s="10"/>
      <c r="M173" s="10"/>
      <c r="N173" s="10"/>
      <c r="O173" s="10"/>
      <c r="P173" s="10"/>
      <c r="Q173" s="9"/>
      <c r="R173" s="9"/>
      <c r="S173" s="9"/>
      <c r="T173" s="26"/>
      <c r="U173" s="9"/>
      <c r="V173" s="26"/>
      <c r="W173" s="26"/>
      <c r="X173" s="26"/>
      <c r="Y173" s="26"/>
      <c r="Z173" s="26"/>
      <c r="AA173" s="26"/>
      <c r="AB173" s="26"/>
      <c r="AE173" s="26"/>
      <c r="AG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</row>
    <row r="174">
      <c r="A174" s="6" t="s">
        <v>247</v>
      </c>
      <c r="B174" s="4">
        <f>IFERROR(__xludf.DUMMYFUNCTION("IMPORTRANGE(""https://docs.google.com/spreadsheets/d/13zDiYSWN14dhBU8OxlbATFo4qBXba3m2YDRZbxsxouQ/edit?gid=0#gid=0"", ""CA110"")"),1422.0)</f>
        <v>1422</v>
      </c>
      <c r="C174" s="33" t="s">
        <v>169</v>
      </c>
      <c r="D174" s="4">
        <v>23.0</v>
      </c>
      <c r="E174" s="9" t="s">
        <v>34</v>
      </c>
      <c r="F174" s="18" t="s">
        <v>248</v>
      </c>
      <c r="G174" s="18" t="s">
        <v>116</v>
      </c>
      <c r="H174" s="10" t="s">
        <v>27</v>
      </c>
      <c r="I174" s="10" t="s">
        <v>73</v>
      </c>
      <c r="J174" s="10" t="s">
        <v>13</v>
      </c>
      <c r="K174" s="10" t="s">
        <v>173</v>
      </c>
      <c r="L174" s="10" t="s">
        <v>114</v>
      </c>
      <c r="M174" s="10" t="s">
        <v>241</v>
      </c>
      <c r="N174" s="10" t="s">
        <v>60</v>
      </c>
      <c r="O174" s="10" t="s">
        <v>37</v>
      </c>
      <c r="P174" s="10" t="s">
        <v>70</v>
      </c>
      <c r="Q174" s="20" t="s">
        <v>21</v>
      </c>
      <c r="R174" s="6" t="s">
        <v>32</v>
      </c>
      <c r="S174" s="20" t="s">
        <v>39</v>
      </c>
      <c r="T174" s="6" t="s">
        <v>51</v>
      </c>
      <c r="U174" s="6" t="s">
        <v>55</v>
      </c>
      <c r="V174" s="6" t="s">
        <v>78</v>
      </c>
      <c r="W174" s="6" t="s">
        <v>6</v>
      </c>
      <c r="X174" s="6" t="s">
        <v>38</v>
      </c>
      <c r="Y174" s="6" t="s">
        <v>26</v>
      </c>
      <c r="Z174" s="6" t="s">
        <v>119</v>
      </c>
      <c r="AA174" s="6" t="s">
        <v>152</v>
      </c>
      <c r="AB174" s="26"/>
    </row>
    <row r="175">
      <c r="A175" s="6" t="s">
        <v>249</v>
      </c>
      <c r="B175" s="4">
        <f>IFERROR(__xludf.DUMMYFUNCTION("IMPORTRANGE(""https://docs.google.com/spreadsheets/d/13zDiYSWN14dhBU8OxlbATFo4qBXba3m2YDRZbxsxouQ/edit?gid=0#gid=0"", ""CA152"")"),1424.0)</f>
        <v>1424</v>
      </c>
      <c r="C175" s="33" t="s">
        <v>169</v>
      </c>
      <c r="D175" s="4">
        <v>5.0</v>
      </c>
      <c r="E175" s="26" t="s">
        <v>64</v>
      </c>
      <c r="F175" s="35" t="s">
        <v>38</v>
      </c>
      <c r="G175" s="20" t="s">
        <v>6</v>
      </c>
      <c r="H175" s="20" t="s">
        <v>30</v>
      </c>
      <c r="I175" s="20" t="s">
        <v>13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6" t="s">
        <v>250</v>
      </c>
      <c r="B176" s="4">
        <f>IFERROR(__xludf.DUMMYFUNCTION("IMPORTRANGE(""https://docs.google.com/spreadsheets/d/13zDiYSWN14dhBU8OxlbATFo4qBXba3m2YDRZbxsxouQ/edit?gid=0#gid=0"", ""CA154"")"),1425.0)</f>
        <v>1425</v>
      </c>
      <c r="C176" s="33" t="s">
        <v>169</v>
      </c>
      <c r="D176" s="4">
        <v>1.0</v>
      </c>
      <c r="E176" s="29" t="s">
        <v>37</v>
      </c>
      <c r="G176" s="9"/>
      <c r="H176" s="9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6" t="s">
        <v>251</v>
      </c>
      <c r="B177" s="4">
        <f>IFERROR(__xludf.DUMMYFUNCTION("IMPORTRANGE(""https://docs.google.com/spreadsheets/d/13zDiYSWN14dhBU8OxlbATFo4qBXba3m2YDRZbxsxouQ/edit?gid=0#gid=0"", ""CA111"")"),1426.0)</f>
        <v>1426</v>
      </c>
      <c r="C177" s="33" t="s">
        <v>169</v>
      </c>
      <c r="D177" s="4">
        <v>5.0</v>
      </c>
      <c r="E177" s="22" t="s">
        <v>23</v>
      </c>
      <c r="F177" s="20" t="s">
        <v>70</v>
      </c>
      <c r="G177" s="20" t="s">
        <v>6</v>
      </c>
      <c r="H177" s="20" t="s">
        <v>38</v>
      </c>
      <c r="I177" s="20" t="s">
        <v>97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B178" s="4"/>
      <c r="D178" s="5"/>
    </row>
    <row r="181">
      <c r="E181" s="5" t="s">
        <v>252</v>
      </c>
    </row>
    <row r="182">
      <c r="E182" s="5" t="s">
        <v>253</v>
      </c>
      <c r="F182" s="36">
        <f>IFERROR(__xludf.DUMMYFUNCTION("COUNTUNIQUE(ARRAYFORMULA(PROPER(E3:AJ177) ))"),55.0)</f>
        <v>55</v>
      </c>
    </row>
    <row r="183">
      <c r="D183" s="26"/>
      <c r="E183" s="10"/>
      <c r="F183" s="14"/>
      <c r="G183" s="10"/>
    </row>
  </sheetData>
  <hyperlinks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F10"/>
    <hyperlink r:id="rId12" ref="A11"/>
    <hyperlink r:id="rId13" ref="F11"/>
    <hyperlink r:id="rId14" ref="A12"/>
    <hyperlink r:id="rId15" ref="F12"/>
    <hyperlink r:id="rId16" ref="A13"/>
    <hyperlink r:id="rId17" ref="A14"/>
    <hyperlink r:id="rId18" ref="F14"/>
    <hyperlink r:id="rId19" ref="G14"/>
    <hyperlink r:id="rId20" ref="A15"/>
    <hyperlink r:id="rId21" ref="F15"/>
    <hyperlink r:id="rId22" ref="G15"/>
    <hyperlink r:id="rId23" ref="H15"/>
    <hyperlink r:id="rId24" ref="A16"/>
    <hyperlink r:id="rId25" ref="F16"/>
    <hyperlink r:id="rId26" ref="A17"/>
    <hyperlink r:id="rId27" ref="F17"/>
    <hyperlink r:id="rId28" ref="G17"/>
    <hyperlink r:id="rId29" ref="H17"/>
    <hyperlink r:id="rId30" ref="I17"/>
    <hyperlink r:id="rId31" ref="J17"/>
    <hyperlink r:id="rId32" ref="A18"/>
    <hyperlink r:id="rId33" ref="F18"/>
    <hyperlink r:id="rId34" ref="A19"/>
    <hyperlink r:id="rId35" ref="A20"/>
    <hyperlink r:id="rId36" ref="A21"/>
    <hyperlink r:id="rId37" ref="A22"/>
    <hyperlink r:id="rId38" ref="F22"/>
    <hyperlink r:id="rId39" ref="A23"/>
    <hyperlink r:id="rId40" ref="A24"/>
    <hyperlink r:id="rId41" ref="F24"/>
    <hyperlink r:id="rId42" ref="G24"/>
    <hyperlink r:id="rId43" ref="A25"/>
    <hyperlink r:id="rId44" ref="A26"/>
    <hyperlink r:id="rId45" ref="A27"/>
    <hyperlink r:id="rId46" ref="A28"/>
    <hyperlink r:id="rId47" ref="A29"/>
    <hyperlink r:id="rId48" ref="A30"/>
    <hyperlink r:id="rId49" ref="F30"/>
    <hyperlink r:id="rId50" ref="G30"/>
    <hyperlink r:id="rId51" ref="H30"/>
    <hyperlink r:id="rId52" ref="I30"/>
    <hyperlink r:id="rId53" ref="A31"/>
    <hyperlink r:id="rId54" ref="A32"/>
    <hyperlink r:id="rId55" ref="A33"/>
    <hyperlink r:id="rId56" ref="F33"/>
    <hyperlink r:id="rId57" ref="G33"/>
    <hyperlink r:id="rId58" ref="H33"/>
    <hyperlink r:id="rId59" ref="I33"/>
    <hyperlink r:id="rId60" ref="J33"/>
    <hyperlink r:id="rId61" ref="A34"/>
    <hyperlink r:id="rId62" ref="F34"/>
    <hyperlink r:id="rId63" ref="G34"/>
    <hyperlink r:id="rId64" ref="H34"/>
    <hyperlink r:id="rId65" ref="I34"/>
    <hyperlink r:id="rId66" ref="A35"/>
    <hyperlink r:id="rId67" ref="A36"/>
    <hyperlink r:id="rId68" ref="F36"/>
    <hyperlink r:id="rId69" ref="G36"/>
    <hyperlink r:id="rId70" ref="A37"/>
    <hyperlink r:id="rId71" ref="A38"/>
    <hyperlink r:id="rId72" ref="A39"/>
    <hyperlink r:id="rId73" ref="A40"/>
    <hyperlink r:id="rId74" ref="F40"/>
    <hyperlink r:id="rId75" ref="G40"/>
    <hyperlink r:id="rId76" ref="H40"/>
    <hyperlink r:id="rId77" ref="I40"/>
    <hyperlink r:id="rId78" ref="J40"/>
    <hyperlink r:id="rId79" ref="K40"/>
    <hyperlink r:id="rId80" ref="L40"/>
    <hyperlink r:id="rId81" ref="M40"/>
    <hyperlink r:id="rId82" ref="A41"/>
    <hyperlink r:id="rId83" ref="A42"/>
    <hyperlink r:id="rId84" ref="A43"/>
    <hyperlink r:id="rId85" ref="A44"/>
    <hyperlink r:id="rId86" ref="F44"/>
    <hyperlink r:id="rId87" ref="A45"/>
    <hyperlink r:id="rId88" ref="A46"/>
    <hyperlink r:id="rId89" ref="A47"/>
    <hyperlink r:id="rId90" ref="F47"/>
    <hyperlink r:id="rId91" ref="G47"/>
    <hyperlink r:id="rId92" ref="H47"/>
    <hyperlink r:id="rId93" ref="I47"/>
    <hyperlink r:id="rId94" ref="J47"/>
    <hyperlink r:id="rId95" ref="A48"/>
    <hyperlink r:id="rId96" ref="A49"/>
    <hyperlink r:id="rId97" ref="A50"/>
    <hyperlink r:id="rId98" ref="F50"/>
    <hyperlink r:id="rId99" ref="G50"/>
    <hyperlink r:id="rId100" ref="A51"/>
    <hyperlink r:id="rId101" ref="F51"/>
    <hyperlink r:id="rId102" ref="G51"/>
    <hyperlink r:id="rId103" ref="H51"/>
    <hyperlink r:id="rId104" ref="I51"/>
    <hyperlink r:id="rId105" ref="A52"/>
    <hyperlink r:id="rId106" ref="A53"/>
    <hyperlink r:id="rId107" ref="A54"/>
    <hyperlink r:id="rId108" ref="A55"/>
    <hyperlink r:id="rId109" ref="A56"/>
    <hyperlink r:id="rId110" ref="F56"/>
    <hyperlink r:id="rId111" ref="G56"/>
    <hyperlink r:id="rId112" ref="H56"/>
    <hyperlink r:id="rId113" ref="I56"/>
    <hyperlink r:id="rId114" ref="J56"/>
    <hyperlink r:id="rId115" ref="K56"/>
    <hyperlink r:id="rId116" ref="L56"/>
    <hyperlink r:id="rId117" ref="M56"/>
    <hyperlink r:id="rId118" ref="N56"/>
    <hyperlink r:id="rId119" ref="O56"/>
    <hyperlink r:id="rId120" ref="P56"/>
    <hyperlink r:id="rId121" ref="Q56"/>
    <hyperlink r:id="rId122" ref="A57"/>
    <hyperlink r:id="rId123" ref="A58"/>
    <hyperlink r:id="rId124" ref="F58"/>
    <hyperlink r:id="rId125" ref="G58"/>
    <hyperlink r:id="rId126" ref="H58"/>
    <hyperlink r:id="rId127" ref="I58"/>
    <hyperlink r:id="rId128" ref="A59"/>
    <hyperlink r:id="rId129" ref="A60"/>
    <hyperlink r:id="rId130" ref="A61"/>
    <hyperlink r:id="rId131" ref="F61"/>
    <hyperlink r:id="rId132" ref="G61"/>
    <hyperlink r:id="rId133" ref="A62"/>
    <hyperlink r:id="rId134" ref="F62"/>
    <hyperlink r:id="rId135" ref="G62"/>
    <hyperlink r:id="rId136" ref="A63"/>
    <hyperlink r:id="rId137" ref="F63"/>
    <hyperlink r:id="rId138" ref="A64"/>
    <hyperlink r:id="rId139" ref="A65"/>
    <hyperlink r:id="rId140" ref="F65"/>
    <hyperlink r:id="rId141" ref="A66"/>
    <hyperlink r:id="rId142" ref="A67"/>
    <hyperlink r:id="rId143" ref="A68"/>
    <hyperlink r:id="rId144" ref="F68"/>
    <hyperlink r:id="rId145" ref="G68"/>
    <hyperlink r:id="rId146" ref="H68"/>
    <hyperlink r:id="rId147" ref="I68"/>
    <hyperlink r:id="rId148" ref="J68"/>
    <hyperlink r:id="rId149" ref="K68"/>
    <hyperlink r:id="rId150" ref="L68"/>
    <hyperlink r:id="rId151" ref="A69"/>
    <hyperlink r:id="rId152" ref="F69"/>
    <hyperlink r:id="rId153" ref="G69"/>
    <hyperlink r:id="rId154" ref="H69"/>
    <hyperlink r:id="rId155" ref="I69"/>
    <hyperlink r:id="rId156" ref="J69"/>
    <hyperlink r:id="rId157" ref="K69"/>
    <hyperlink r:id="rId158" ref="L69"/>
    <hyperlink r:id="rId159" ref="M69"/>
    <hyperlink r:id="rId160" ref="N69"/>
    <hyperlink r:id="rId161" ref="O69"/>
    <hyperlink r:id="rId162" ref="P69"/>
    <hyperlink r:id="rId163" ref="Q69"/>
    <hyperlink r:id="rId164" ref="R69"/>
    <hyperlink r:id="rId165" ref="S69"/>
    <hyperlink r:id="rId166" ref="T69"/>
    <hyperlink r:id="rId167" ref="U69"/>
    <hyperlink r:id="rId168" ref="V69"/>
    <hyperlink r:id="rId169" ref="W69"/>
    <hyperlink r:id="rId170" ref="X69"/>
    <hyperlink r:id="rId171" ref="Y69"/>
    <hyperlink r:id="rId172" ref="Z69"/>
    <hyperlink r:id="rId173" ref="AA69"/>
    <hyperlink r:id="rId174" ref="AB69"/>
    <hyperlink r:id="rId175" ref="AC69"/>
    <hyperlink r:id="rId176" ref="AD69"/>
    <hyperlink r:id="rId177" ref="AE69"/>
    <hyperlink r:id="rId178" ref="AF69"/>
    <hyperlink r:id="rId179" ref="AG69"/>
    <hyperlink r:id="rId180" ref="A70"/>
    <hyperlink r:id="rId181" ref="F70"/>
    <hyperlink r:id="rId182" ref="G70"/>
    <hyperlink r:id="rId183" ref="A71"/>
    <hyperlink r:id="rId184" ref="F71"/>
    <hyperlink r:id="rId185" ref="G71"/>
    <hyperlink r:id="rId186" ref="H71"/>
    <hyperlink r:id="rId187" ref="I71"/>
    <hyperlink r:id="rId188" ref="J71"/>
    <hyperlink r:id="rId189" ref="K71"/>
    <hyperlink r:id="rId190" ref="L71"/>
    <hyperlink r:id="rId191" ref="M71"/>
    <hyperlink r:id="rId192" ref="N71"/>
    <hyperlink r:id="rId193" ref="O71"/>
    <hyperlink r:id="rId194" ref="P71"/>
    <hyperlink r:id="rId195" ref="A72"/>
    <hyperlink r:id="rId196" ref="A73"/>
    <hyperlink r:id="rId197" ref="F73"/>
    <hyperlink r:id="rId198" ref="G73"/>
    <hyperlink r:id="rId199" ref="H73"/>
    <hyperlink r:id="rId200" ref="A74"/>
    <hyperlink r:id="rId201" ref="A75"/>
    <hyperlink r:id="rId202" ref="F75"/>
    <hyperlink r:id="rId203" ref="A76"/>
    <hyperlink r:id="rId204" ref="F76"/>
    <hyperlink r:id="rId205" ref="A77"/>
    <hyperlink r:id="rId206" ref="F77"/>
    <hyperlink r:id="rId207" ref="A78"/>
    <hyperlink r:id="rId208" ref="F78"/>
    <hyperlink r:id="rId209" ref="A79"/>
    <hyperlink r:id="rId210" ref="A80"/>
    <hyperlink r:id="rId211" ref="F80"/>
    <hyperlink r:id="rId212" ref="G80"/>
    <hyperlink r:id="rId213" ref="A83"/>
    <hyperlink r:id="rId214" ref="A84"/>
    <hyperlink r:id="rId215" ref="F84"/>
    <hyperlink r:id="rId216" ref="G84"/>
    <hyperlink r:id="rId217" ref="H84"/>
    <hyperlink r:id="rId218" ref="I84"/>
    <hyperlink r:id="rId219" ref="J84"/>
    <hyperlink r:id="rId220" ref="K84"/>
    <hyperlink r:id="rId221" ref="L84"/>
    <hyperlink r:id="rId222" ref="M84"/>
    <hyperlink r:id="rId223" ref="N84"/>
    <hyperlink r:id="rId224" ref="O84"/>
    <hyperlink r:id="rId225" ref="P84"/>
    <hyperlink r:id="rId226" ref="Q84"/>
    <hyperlink r:id="rId227" ref="A85"/>
    <hyperlink r:id="rId228" ref="F85"/>
    <hyperlink r:id="rId229" ref="G85"/>
    <hyperlink r:id="rId230" ref="H85"/>
    <hyperlink r:id="rId231" ref="A86"/>
    <hyperlink r:id="rId232" ref="F86"/>
    <hyperlink r:id="rId233" ref="A87"/>
    <hyperlink r:id="rId234" ref="F87"/>
    <hyperlink r:id="rId235" ref="G87"/>
    <hyperlink r:id="rId236" ref="A88"/>
    <hyperlink r:id="rId237" ref="F88"/>
    <hyperlink r:id="rId238" ref="A89"/>
    <hyperlink r:id="rId239" ref="F89"/>
    <hyperlink r:id="rId240" ref="G89"/>
    <hyperlink r:id="rId241" ref="A90"/>
    <hyperlink r:id="rId242" ref="A91"/>
    <hyperlink r:id="rId243" ref="A92"/>
    <hyperlink r:id="rId244" ref="F92"/>
    <hyperlink r:id="rId245" ref="G92"/>
    <hyperlink r:id="rId246" ref="H92"/>
    <hyperlink r:id="rId247" ref="A93"/>
    <hyperlink r:id="rId248" ref="A94"/>
    <hyperlink r:id="rId249" ref="F94"/>
    <hyperlink r:id="rId250" ref="G94"/>
    <hyperlink r:id="rId251" ref="H94"/>
    <hyperlink r:id="rId252" ref="I94"/>
    <hyperlink r:id="rId253" ref="A95"/>
    <hyperlink r:id="rId254" ref="A97"/>
    <hyperlink r:id="rId255" ref="A98"/>
    <hyperlink r:id="rId256" ref="A99"/>
    <hyperlink r:id="rId257" ref="A100"/>
    <hyperlink r:id="rId258" ref="A101"/>
    <hyperlink r:id="rId259" ref="A102"/>
    <hyperlink r:id="rId260" ref="F102"/>
    <hyperlink r:id="rId261" ref="A103"/>
    <hyperlink r:id="rId262" ref="F103"/>
    <hyperlink r:id="rId263" ref="A104"/>
    <hyperlink r:id="rId264" ref="A105"/>
    <hyperlink r:id="rId265" ref="A106"/>
    <hyperlink r:id="rId266" ref="F106"/>
    <hyperlink r:id="rId267" ref="G106"/>
    <hyperlink r:id="rId268" ref="H106"/>
    <hyperlink r:id="rId269" ref="I106"/>
    <hyperlink r:id="rId270" ref="A107"/>
    <hyperlink r:id="rId271" ref="F107"/>
    <hyperlink r:id="rId272" ref="A108"/>
    <hyperlink r:id="rId273" ref="A109"/>
    <hyperlink r:id="rId274" ref="F109"/>
    <hyperlink r:id="rId275" ref="A110"/>
    <hyperlink r:id="rId276" ref="A111"/>
    <hyperlink r:id="rId277" ref="F111"/>
    <hyperlink r:id="rId278" ref="G111"/>
    <hyperlink r:id="rId279" ref="A112"/>
    <hyperlink r:id="rId280" ref="F112"/>
    <hyperlink r:id="rId281" ref="A113"/>
    <hyperlink r:id="rId282" ref="A114"/>
    <hyperlink r:id="rId283" ref="A115"/>
    <hyperlink r:id="rId284" ref="A116"/>
    <hyperlink r:id="rId285" ref="A117"/>
    <hyperlink r:id="rId286" ref="F117"/>
    <hyperlink r:id="rId287" ref="A118"/>
    <hyperlink r:id="rId288" ref="F118"/>
    <hyperlink r:id="rId289" ref="G118"/>
    <hyperlink r:id="rId290" ref="H118"/>
    <hyperlink r:id="rId291" ref="I118"/>
    <hyperlink r:id="rId292" ref="A119"/>
    <hyperlink r:id="rId293" ref="F119"/>
    <hyperlink r:id="rId294" ref="A120"/>
    <hyperlink r:id="rId295" ref="A121"/>
    <hyperlink r:id="rId296" ref="F121"/>
    <hyperlink r:id="rId297" ref="G121"/>
    <hyperlink r:id="rId298" ref="H121"/>
    <hyperlink r:id="rId299" ref="A122"/>
    <hyperlink r:id="rId300" ref="A123"/>
    <hyperlink r:id="rId301" ref="A124"/>
    <hyperlink r:id="rId302" ref="A125"/>
    <hyperlink r:id="rId303" ref="F125"/>
    <hyperlink r:id="rId304" ref="G125"/>
    <hyperlink r:id="rId305" ref="H125"/>
    <hyperlink r:id="rId306" ref="I125"/>
    <hyperlink r:id="rId307" ref="A126"/>
    <hyperlink r:id="rId308" ref="F126"/>
    <hyperlink r:id="rId309" ref="A127"/>
    <hyperlink r:id="rId310" ref="F127"/>
    <hyperlink r:id="rId311" ref="G127"/>
    <hyperlink r:id="rId312" ref="H127"/>
    <hyperlink r:id="rId313" ref="I127"/>
    <hyperlink r:id="rId314" ref="J127"/>
    <hyperlink r:id="rId315" ref="K127"/>
    <hyperlink r:id="rId316" ref="L127"/>
    <hyperlink r:id="rId317" ref="M127"/>
    <hyperlink r:id="rId318" ref="A128"/>
    <hyperlink r:id="rId319" ref="F128"/>
    <hyperlink r:id="rId320" ref="A129"/>
    <hyperlink r:id="rId321" ref="A130"/>
    <hyperlink r:id="rId322" ref="A131"/>
    <hyperlink r:id="rId323" ref="A132"/>
    <hyperlink r:id="rId324" ref="F132"/>
    <hyperlink r:id="rId325" ref="G132"/>
    <hyperlink r:id="rId326" ref="H132"/>
    <hyperlink r:id="rId327" ref="I132"/>
    <hyperlink r:id="rId328" ref="J132"/>
    <hyperlink r:id="rId329" ref="A133"/>
    <hyperlink r:id="rId330" ref="A134"/>
    <hyperlink r:id="rId331" ref="A135"/>
    <hyperlink r:id="rId332" ref="F135"/>
    <hyperlink r:id="rId333" ref="G135"/>
    <hyperlink r:id="rId334" ref="H135"/>
    <hyperlink r:id="rId335" ref="I135"/>
    <hyperlink r:id="rId336" ref="J135"/>
    <hyperlink r:id="rId337" ref="K135"/>
    <hyperlink r:id="rId338" ref="L135"/>
    <hyperlink r:id="rId339" ref="M135"/>
    <hyperlink r:id="rId340" ref="N135"/>
    <hyperlink r:id="rId341" ref="O135"/>
    <hyperlink r:id="rId342" ref="P135"/>
    <hyperlink r:id="rId343" ref="Q135"/>
    <hyperlink r:id="rId344" ref="R135"/>
    <hyperlink r:id="rId345" ref="A136"/>
    <hyperlink r:id="rId346" ref="F136"/>
    <hyperlink r:id="rId347" ref="G136"/>
    <hyperlink r:id="rId348" ref="H136"/>
    <hyperlink r:id="rId349" ref="I136"/>
    <hyperlink r:id="rId350" ref="J136"/>
    <hyperlink r:id="rId351" ref="K136"/>
    <hyperlink r:id="rId352" ref="L136"/>
    <hyperlink r:id="rId353" ref="M136"/>
    <hyperlink r:id="rId354" ref="N136"/>
    <hyperlink r:id="rId355" ref="A137"/>
    <hyperlink r:id="rId356" ref="A138"/>
    <hyperlink r:id="rId357" ref="A139"/>
    <hyperlink r:id="rId358" ref="A140"/>
    <hyperlink r:id="rId359" ref="F140"/>
    <hyperlink r:id="rId360" ref="A141"/>
    <hyperlink r:id="rId361" ref="A142"/>
    <hyperlink r:id="rId362" ref="F142"/>
    <hyperlink r:id="rId363" ref="A143"/>
    <hyperlink r:id="rId364" ref="F143"/>
    <hyperlink r:id="rId365" ref="A144"/>
    <hyperlink r:id="rId366" ref="A145"/>
    <hyperlink r:id="rId367" ref="A146"/>
    <hyperlink r:id="rId368" ref="A147"/>
    <hyperlink r:id="rId369" ref="F147"/>
    <hyperlink r:id="rId370" ref="A148"/>
    <hyperlink r:id="rId371" ref="A149"/>
    <hyperlink r:id="rId372" ref="A150"/>
    <hyperlink r:id="rId373" ref="A151"/>
    <hyperlink r:id="rId374" ref="F151"/>
    <hyperlink r:id="rId375" ref="G151"/>
    <hyperlink r:id="rId376" ref="H151"/>
    <hyperlink r:id="rId377" ref="A152"/>
    <hyperlink r:id="rId378" ref="F152"/>
    <hyperlink r:id="rId379" ref="A153"/>
    <hyperlink r:id="rId380" ref="F153"/>
    <hyperlink r:id="rId381" ref="G153"/>
    <hyperlink r:id="rId382" ref="H153"/>
    <hyperlink r:id="rId383" ref="I153"/>
    <hyperlink r:id="rId384" ref="J153"/>
    <hyperlink r:id="rId385" ref="K153"/>
    <hyperlink r:id="rId386" ref="A154"/>
    <hyperlink r:id="rId387" ref="A155"/>
    <hyperlink r:id="rId388" ref="F155"/>
    <hyperlink r:id="rId389" ref="G155"/>
    <hyperlink r:id="rId390" ref="H155"/>
    <hyperlink r:id="rId391" ref="I155"/>
    <hyperlink r:id="rId392" ref="J155"/>
    <hyperlink r:id="rId393" ref="K155"/>
    <hyperlink r:id="rId394" ref="L155"/>
    <hyperlink r:id="rId395" ref="M155"/>
    <hyperlink r:id="rId396" ref="N155"/>
    <hyperlink r:id="rId397" ref="O155"/>
    <hyperlink r:id="rId398" ref="P155"/>
    <hyperlink r:id="rId399" ref="Q155"/>
    <hyperlink r:id="rId400" ref="R155"/>
    <hyperlink r:id="rId401" ref="S155"/>
    <hyperlink r:id="rId402" ref="T155"/>
    <hyperlink r:id="rId403" ref="U155"/>
    <hyperlink r:id="rId404" ref="V155"/>
    <hyperlink r:id="rId405" ref="W155"/>
    <hyperlink r:id="rId406" ref="X155"/>
    <hyperlink r:id="rId407" ref="Y155"/>
    <hyperlink r:id="rId408" ref="Z155"/>
    <hyperlink r:id="rId409" ref="AA155"/>
    <hyperlink r:id="rId410" ref="AB155"/>
    <hyperlink r:id="rId411" ref="AC155"/>
    <hyperlink r:id="rId412" ref="AD155"/>
    <hyperlink r:id="rId413" ref="AE155"/>
    <hyperlink r:id="rId414" ref="AF155"/>
    <hyperlink r:id="rId415" ref="AG155"/>
    <hyperlink r:id="rId416" ref="AH155"/>
    <hyperlink r:id="rId417" ref="AI155"/>
    <hyperlink r:id="rId418" ref="AJ155"/>
    <hyperlink r:id="rId419" ref="AK155"/>
    <hyperlink r:id="rId420" ref="AL155"/>
    <hyperlink r:id="rId421" ref="AM155"/>
    <hyperlink r:id="rId422" ref="AN155"/>
    <hyperlink r:id="rId423" ref="A156"/>
    <hyperlink r:id="rId424" ref="F156"/>
    <hyperlink r:id="rId425" ref="A157"/>
    <hyperlink r:id="rId426" ref="A158"/>
    <hyperlink r:id="rId427" ref="F158"/>
    <hyperlink r:id="rId428" ref="G158"/>
    <hyperlink r:id="rId429" ref="A159"/>
    <hyperlink r:id="rId430" ref="A160"/>
    <hyperlink r:id="rId431" ref="F160"/>
    <hyperlink r:id="rId432" ref="G160"/>
    <hyperlink r:id="rId433" ref="A161"/>
    <hyperlink r:id="rId434" ref="A162"/>
    <hyperlink r:id="rId435" ref="F162"/>
    <hyperlink r:id="rId436" ref="G162"/>
    <hyperlink r:id="rId437" ref="H162"/>
    <hyperlink r:id="rId438" ref="I162"/>
    <hyperlink r:id="rId439" ref="J162"/>
    <hyperlink r:id="rId440" ref="A163"/>
    <hyperlink r:id="rId441" ref="A164"/>
    <hyperlink r:id="rId442" ref="A165"/>
    <hyperlink r:id="rId443" ref="A166"/>
    <hyperlink r:id="rId444" ref="F166"/>
    <hyperlink r:id="rId445" ref="A167"/>
    <hyperlink r:id="rId446" ref="F167"/>
    <hyperlink r:id="rId447" ref="A168"/>
    <hyperlink r:id="rId448" ref="F168"/>
    <hyperlink r:id="rId449" ref="A169"/>
    <hyperlink r:id="rId450" ref="F169"/>
    <hyperlink r:id="rId451" ref="G169"/>
    <hyperlink r:id="rId452" ref="H169"/>
    <hyperlink r:id="rId453" ref="I169"/>
    <hyperlink r:id="rId454" ref="J169"/>
    <hyperlink r:id="rId455" ref="K169"/>
    <hyperlink r:id="rId456" ref="L169"/>
    <hyperlink r:id="rId457" ref="M169"/>
    <hyperlink r:id="rId458" ref="N169"/>
    <hyperlink r:id="rId459" ref="O169"/>
    <hyperlink r:id="rId460" ref="A170"/>
    <hyperlink r:id="rId461" ref="A171"/>
    <hyperlink r:id="rId462" ref="F171"/>
    <hyperlink r:id="rId463" ref="A172"/>
    <hyperlink r:id="rId464" ref="F172"/>
    <hyperlink r:id="rId465" ref="G172"/>
    <hyperlink r:id="rId466" ref="H172"/>
    <hyperlink r:id="rId467" ref="I172"/>
    <hyperlink r:id="rId468" ref="A173"/>
    <hyperlink r:id="rId469" ref="F173"/>
    <hyperlink r:id="rId470" ref="G173"/>
    <hyperlink r:id="rId471" ref="H173"/>
    <hyperlink r:id="rId472" ref="I173"/>
    <hyperlink r:id="rId473" ref="A174"/>
    <hyperlink r:id="rId474" ref="F174"/>
    <hyperlink r:id="rId475" ref="G174"/>
    <hyperlink r:id="rId476" ref="H174"/>
    <hyperlink r:id="rId477" ref="I174"/>
    <hyperlink r:id="rId478" ref="J174"/>
    <hyperlink r:id="rId479" ref="K174"/>
    <hyperlink r:id="rId480" ref="L174"/>
    <hyperlink r:id="rId481" ref="M174"/>
    <hyperlink r:id="rId482" ref="N174"/>
    <hyperlink r:id="rId483" ref="O174"/>
    <hyperlink r:id="rId484" ref="P174"/>
    <hyperlink r:id="rId485" ref="Q174"/>
    <hyperlink r:id="rId486" ref="R174"/>
    <hyperlink r:id="rId487" ref="S174"/>
    <hyperlink r:id="rId488" ref="T174"/>
    <hyperlink r:id="rId489" ref="U174"/>
    <hyperlink r:id="rId490" ref="V174"/>
    <hyperlink r:id="rId491" ref="W174"/>
    <hyperlink r:id="rId492" ref="X174"/>
    <hyperlink r:id="rId493" ref="Y174"/>
    <hyperlink r:id="rId494" ref="Z174"/>
    <hyperlink r:id="rId495" ref="AA174"/>
    <hyperlink r:id="rId496" ref="A175"/>
    <hyperlink r:id="rId497" ref="F175"/>
    <hyperlink r:id="rId498" ref="G175"/>
    <hyperlink r:id="rId499" ref="H175"/>
    <hyperlink r:id="rId500" ref="I175"/>
    <hyperlink r:id="rId501" ref="A176"/>
    <hyperlink r:id="rId502" ref="A177"/>
    <hyperlink r:id="rId503" ref="F177"/>
    <hyperlink r:id="rId504" ref="G177"/>
    <hyperlink r:id="rId505" ref="H177"/>
    <hyperlink r:id="rId506" ref="I177"/>
  </hyperlinks>
  <drawing r:id="rId507"/>
  <legacyDrawing r:id="rId5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0"/>
    <col customWidth="1" min="4" max="4" width="15.88"/>
  </cols>
  <sheetData>
    <row r="1">
      <c r="A1" s="1"/>
      <c r="B1" s="37" t="s">
        <v>254</v>
      </c>
      <c r="C1" s="38" t="s">
        <v>255</v>
      </c>
    </row>
    <row r="2">
      <c r="A2" s="6" t="s">
        <v>6</v>
      </c>
      <c r="B2" s="6" t="s">
        <v>7</v>
      </c>
      <c r="C2" s="4">
        <v>56.0</v>
      </c>
      <c r="D2" s="39"/>
    </row>
    <row r="3">
      <c r="A3" s="6" t="s">
        <v>13</v>
      </c>
      <c r="B3" s="6" t="s">
        <v>12</v>
      </c>
      <c r="C3" s="4">
        <v>19.0</v>
      </c>
      <c r="D3" s="39"/>
    </row>
    <row r="4">
      <c r="A4" s="6" t="s">
        <v>21</v>
      </c>
      <c r="B4" s="26"/>
      <c r="C4" s="4">
        <v>25.0</v>
      </c>
      <c r="D4" s="39"/>
    </row>
    <row r="5">
      <c r="A5" s="6" t="s">
        <v>256</v>
      </c>
      <c r="B5" s="6" t="s">
        <v>9</v>
      </c>
      <c r="C5" s="4">
        <v>15.0</v>
      </c>
      <c r="D5" s="39"/>
    </row>
    <row r="6">
      <c r="A6" s="40" t="s">
        <v>30</v>
      </c>
      <c r="B6" s="26"/>
      <c r="C6" s="4"/>
      <c r="D6" s="39"/>
    </row>
    <row r="7">
      <c r="A7" s="6" t="s">
        <v>34</v>
      </c>
      <c r="B7" s="6" t="s">
        <v>33</v>
      </c>
      <c r="C7" s="4">
        <v>21.0</v>
      </c>
      <c r="D7" s="39"/>
    </row>
    <row r="8">
      <c r="A8" s="40" t="s">
        <v>15</v>
      </c>
      <c r="B8" s="26"/>
      <c r="C8" s="4"/>
      <c r="D8" s="39"/>
    </row>
    <row r="9">
      <c r="A9" s="6" t="s">
        <v>257</v>
      </c>
      <c r="B9" s="6" t="s">
        <v>22</v>
      </c>
      <c r="C9" s="4">
        <v>17.0</v>
      </c>
      <c r="D9" s="39"/>
    </row>
    <row r="10">
      <c r="A10" s="6" t="s">
        <v>26</v>
      </c>
      <c r="B10" s="6" t="s">
        <v>87</v>
      </c>
      <c r="C10" s="4">
        <v>22.0</v>
      </c>
      <c r="D10" s="39"/>
    </row>
    <row r="11">
      <c r="A11" s="40" t="s">
        <v>258</v>
      </c>
      <c r="B11" s="26"/>
      <c r="C11" s="4"/>
      <c r="D11" s="39"/>
      <c r="E11" s="40"/>
      <c r="F11" s="26"/>
      <c r="G11" s="4"/>
    </row>
    <row r="12">
      <c r="A12" s="6" t="s">
        <v>55</v>
      </c>
      <c r="B12" s="6" t="s">
        <v>259</v>
      </c>
      <c r="C12" s="4">
        <v>8.0</v>
      </c>
      <c r="D12" s="39"/>
    </row>
    <row r="13">
      <c r="A13" s="6" t="s">
        <v>38</v>
      </c>
      <c r="B13" s="6" t="s">
        <v>35</v>
      </c>
      <c r="C13" s="4">
        <v>11.0</v>
      </c>
      <c r="D13" s="39"/>
    </row>
    <row r="14">
      <c r="A14" s="6" t="s">
        <v>37</v>
      </c>
      <c r="B14" s="6" t="s">
        <v>35</v>
      </c>
      <c r="C14" s="4">
        <v>35.0</v>
      </c>
      <c r="D14" s="39"/>
    </row>
    <row r="15">
      <c r="A15" s="6" t="s">
        <v>44</v>
      </c>
      <c r="B15" s="6" t="s">
        <v>43</v>
      </c>
      <c r="C15" s="4">
        <v>8.0</v>
      </c>
      <c r="D15" s="39"/>
    </row>
    <row r="16">
      <c r="A16" s="6" t="s">
        <v>260</v>
      </c>
      <c r="B16" s="6" t="s">
        <v>48</v>
      </c>
      <c r="C16" s="4">
        <v>25.0</v>
      </c>
      <c r="D16" s="39"/>
    </row>
    <row r="17">
      <c r="A17" s="6" t="s">
        <v>29</v>
      </c>
      <c r="B17" s="6" t="s">
        <v>28</v>
      </c>
      <c r="C17" s="4">
        <v>4.0</v>
      </c>
      <c r="D17" s="39"/>
    </row>
    <row r="20">
      <c r="E20" s="41"/>
    </row>
  </sheetData>
  <mergeCells count="21">
    <mergeCell ref="J1:K1"/>
    <mergeCell ref="J2:K2"/>
    <mergeCell ref="J4:K4"/>
    <mergeCell ref="J5:K5"/>
    <mergeCell ref="J6:K6"/>
    <mergeCell ref="J7:K7"/>
    <mergeCell ref="J8:K8"/>
    <mergeCell ref="J17:K17"/>
    <mergeCell ref="J18:K18"/>
    <mergeCell ref="J19:K19"/>
    <mergeCell ref="J20:K20"/>
    <mergeCell ref="J21:K21"/>
    <mergeCell ref="J22:K22"/>
    <mergeCell ref="J23:K23"/>
    <mergeCell ref="J9:K9"/>
    <mergeCell ref="J10:K10"/>
    <mergeCell ref="J11:K11"/>
    <mergeCell ref="J12:K12"/>
    <mergeCell ref="J13:K13"/>
    <mergeCell ref="J15:K15"/>
    <mergeCell ref="J16:K16"/>
  </mergeCells>
  <hyperlinks>
    <hyperlink r:id="rId2" ref="A2"/>
    <hyperlink r:id="rId3" ref="B2"/>
    <hyperlink r:id="rId4" ref="A3"/>
    <hyperlink r:id="rId5" ref="B3"/>
    <hyperlink r:id="rId6" ref="A4"/>
    <hyperlink r:id="rId7" ref="A5"/>
    <hyperlink r:id="rId8" ref="B5"/>
    <hyperlink r:id="rId9" ref="A7"/>
    <hyperlink r:id="rId10" ref="B7"/>
    <hyperlink r:id="rId11" ref="A9"/>
    <hyperlink r:id="rId12" ref="B9"/>
    <hyperlink r:id="rId13" ref="A10"/>
    <hyperlink r:id="rId14" ref="B10"/>
    <hyperlink r:id="rId15" ref="A12"/>
    <hyperlink r:id="rId16" ref="B12"/>
    <hyperlink r:id="rId17" ref="A13"/>
    <hyperlink r:id="rId18" ref="B13"/>
    <hyperlink r:id="rId19" ref="A14"/>
    <hyperlink r:id="rId20" ref="B14"/>
    <hyperlink r:id="rId21" ref="A15"/>
    <hyperlink r:id="rId22" ref="B15"/>
    <hyperlink r:id="rId23" ref="A16"/>
    <hyperlink r:id="rId24" ref="B16"/>
    <hyperlink r:id="rId25" ref="A17"/>
    <hyperlink r:id="rId26" ref="B17"/>
  </hyperlinks>
  <drawing r:id="rId27"/>
  <legacy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</row>
    <row r="2">
      <c r="A2" s="6" t="s">
        <v>4</v>
      </c>
      <c r="B2" s="4">
        <f>IFERROR(__xludf.DUMMYFUNCTION("IMPORTRANGE(""https://docs.google.com/spreadsheets/d/13zDiYSWN14dhBU8OxlbATFo4qBXba3m2YDRZbxsxouQ/edit?gid=0#gid=0"", ""CA165"")"),83.0)</f>
        <v>83</v>
      </c>
      <c r="C2" s="7" t="s">
        <v>5</v>
      </c>
      <c r="D2" s="8">
        <v>1.0</v>
      </c>
      <c r="E2" s="9" t="s">
        <v>6</v>
      </c>
      <c r="F2" s="10"/>
      <c r="G2" s="9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6" t="s">
        <v>7</v>
      </c>
      <c r="B3" s="4">
        <f>IFERROR(__xludf.DUMMYFUNCTION("IMPORTRANGE(""https://docs.google.com/spreadsheets/d/13zDiYSWN14dhBU8OxlbATFo4qBXba3m2YDRZbxsxouQ/edit?gid=0#gid=0"", ""CA149"")"),134.0)</f>
        <v>134</v>
      </c>
      <c r="C3" s="12" t="s">
        <v>8</v>
      </c>
      <c r="D3" s="8">
        <v>1.0</v>
      </c>
      <c r="E3" s="9" t="s">
        <v>6</v>
      </c>
      <c r="F3" s="10"/>
      <c r="G3" s="9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6" t="s">
        <v>9</v>
      </c>
      <c r="B4" s="4">
        <f>IFERROR(__xludf.DUMMYFUNCTION("IMPORTRANGE(""https://docs.google.com/spreadsheets/d/13zDiYSWN14dhBU8OxlbATFo4qBXba3m2YDRZbxsxouQ/edit?gid=0#gid=0"", ""CA166"")"),149.0)</f>
        <v>149</v>
      </c>
      <c r="C4" s="13" t="s">
        <v>10</v>
      </c>
      <c r="D4" s="8">
        <v>1.0</v>
      </c>
      <c r="E4" s="9" t="s">
        <v>11</v>
      </c>
      <c r="F4" s="10"/>
      <c r="G4" s="9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6" t="s">
        <v>12</v>
      </c>
      <c r="B5" s="4">
        <f>IFERROR(__xludf.DUMMYFUNCTION("IMPORTRANGE(""https://docs.google.com/spreadsheets/d/13zDiYSWN14dhBU8OxlbATFo4qBXba3m2YDRZbxsxouQ/edit?gid=0#gid=0"", ""CA2"")"),152.0)</f>
        <v>152</v>
      </c>
      <c r="C5" s="13" t="s">
        <v>10</v>
      </c>
      <c r="D5" s="8">
        <v>1.0</v>
      </c>
      <c r="E5" s="9" t="s">
        <v>13</v>
      </c>
      <c r="F5" s="10"/>
      <c r="G5" s="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6" t="s">
        <v>16</v>
      </c>
      <c r="B6" s="4">
        <f>IFERROR(__xludf.DUMMYFUNCTION("IMPORTRANGE(""https://docs.google.com/spreadsheets/d/13zDiYSWN14dhBU8OxlbATFo4qBXba3m2YDRZbxsxouQ/edit?gid=0#gid=0"", ""CA138"")"),174.0)</f>
        <v>174</v>
      </c>
      <c r="C6" s="13" t="s">
        <v>10</v>
      </c>
      <c r="D6" s="8">
        <v>1.0</v>
      </c>
      <c r="E6" s="9" t="s">
        <v>6</v>
      </c>
      <c r="F6" s="14"/>
      <c r="G6" s="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6" t="s">
        <v>17</v>
      </c>
      <c r="B7" s="4">
        <f>IFERROR(__xludf.DUMMYFUNCTION("IMPORTRANGE(""https://docs.google.com/spreadsheets/d/13zDiYSWN14dhBU8OxlbATFo4qBXba3m2YDRZbxsxouQ/edit?gid=0#gid=0"", ""CA3"")"),186.0)</f>
        <v>186</v>
      </c>
      <c r="C7" s="15" t="s">
        <v>18</v>
      </c>
      <c r="D7" s="8">
        <v>2.0</v>
      </c>
      <c r="E7" s="9" t="s">
        <v>261</v>
      </c>
      <c r="F7" s="18" t="s">
        <v>13</v>
      </c>
      <c r="G7" s="9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6" t="s">
        <v>19</v>
      </c>
      <c r="B8" s="4">
        <f>IFERROR(__xludf.DUMMYFUNCTION("IMPORTRANGE(""https://docs.google.com/spreadsheets/d/13zDiYSWN14dhBU8OxlbATFo4qBXba3m2YDRZbxsxouQ/edit?gid=0#gid=0"", ""CA4"")"),192.0)</f>
        <v>192</v>
      </c>
      <c r="C8" s="17" t="s">
        <v>20</v>
      </c>
      <c r="D8" s="8">
        <v>1.0</v>
      </c>
      <c r="E8" s="9" t="s">
        <v>21</v>
      </c>
      <c r="F8" s="10"/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6" t="s">
        <v>22</v>
      </c>
      <c r="B9" s="4">
        <f>IFERROR(__xludf.DUMMYFUNCTION("IMPORTRANGE(""https://docs.google.com/spreadsheets/d/13zDiYSWN14dhBU8OxlbATFo4qBXba3m2YDRZbxsxouQ/edit?gid=0#gid=0"", ""CA5"")"),216.0)</f>
        <v>216</v>
      </c>
      <c r="C9" s="15" t="s">
        <v>18</v>
      </c>
      <c r="D9" s="8">
        <v>2.0</v>
      </c>
      <c r="E9" s="9" t="s">
        <v>23</v>
      </c>
      <c r="F9" s="18" t="s">
        <v>6</v>
      </c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6" t="s">
        <v>24</v>
      </c>
      <c r="B10" s="4">
        <f>IFERROR(__xludf.DUMMYFUNCTION("IMPORTRANGE(""https://docs.google.com/spreadsheets/d/13zDiYSWN14dhBU8OxlbATFo4qBXba3m2YDRZbxsxouQ/edit?gid=0#gid=0"", ""CA133"")"),227.0)</f>
        <v>227</v>
      </c>
      <c r="C10" s="19" t="s">
        <v>25</v>
      </c>
      <c r="D10" s="8">
        <v>2.0</v>
      </c>
      <c r="E10" s="9" t="s">
        <v>26</v>
      </c>
      <c r="F10" s="18" t="s">
        <v>27</v>
      </c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6" t="s">
        <v>28</v>
      </c>
      <c r="B11" s="4">
        <f>IFERROR(__xludf.DUMMYFUNCTION("IMPORTRANGE(""https://docs.google.com/spreadsheets/d/13zDiYSWN14dhBU8OxlbATFo4qBXba3m2YDRZbxsxouQ/edit?gid=0#gid=0"", ""CA119"")"),233.0)</f>
        <v>233</v>
      </c>
      <c r="C11" s="19" t="s">
        <v>25</v>
      </c>
      <c r="D11" s="8">
        <v>1.0</v>
      </c>
      <c r="E11" s="9" t="s">
        <v>29</v>
      </c>
      <c r="F11" s="10"/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6" t="s">
        <v>33</v>
      </c>
      <c r="B12" s="4">
        <f>IFERROR(__xludf.DUMMYFUNCTION("IMPORTRANGE(""https://docs.google.com/spreadsheets/d/13zDiYSWN14dhBU8OxlbATFo4qBXba3m2YDRZbxsxouQ/edit?gid=0#gid=0"", ""CA6"")"),268.0)</f>
        <v>268</v>
      </c>
      <c r="C12" s="19" t="s">
        <v>25</v>
      </c>
      <c r="D12" s="8">
        <v>3.0</v>
      </c>
      <c r="E12" s="9" t="s">
        <v>34</v>
      </c>
      <c r="F12" s="10" t="s">
        <v>11</v>
      </c>
      <c r="G12" s="20" t="s">
        <v>23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6" t="s">
        <v>35</v>
      </c>
      <c r="B13" s="4">
        <f>IFERROR(__xludf.DUMMYFUNCTION("IMPORTRANGE(""https://docs.google.com/spreadsheets/d/13zDiYSWN14dhBU8OxlbATFo4qBXba3m2YDRZbxsxouQ/edit?gid=0#gid=0"", ""CA135"")"),317.0)</f>
        <v>317</v>
      </c>
      <c r="C13" s="21" t="s">
        <v>36</v>
      </c>
      <c r="D13" s="4">
        <v>3.0</v>
      </c>
      <c r="E13" s="22" t="s">
        <v>37</v>
      </c>
      <c r="F13" s="20" t="s">
        <v>38</v>
      </c>
      <c r="G13" s="20" t="s">
        <v>32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6" t="s">
        <v>40</v>
      </c>
      <c r="B14" s="4">
        <f>IFERROR(__xludf.DUMMYFUNCTION("IMPORTRANGE(""https://docs.google.com/spreadsheets/d/13zDiYSWN14dhBU8OxlbATFo4qBXba3m2YDRZbxsxouQ/edit?gid=0#gid=0"", ""CA7"")"),332.0)</f>
        <v>332</v>
      </c>
      <c r="C14" s="23" t="s">
        <v>41</v>
      </c>
      <c r="D14" s="4">
        <v>3.0</v>
      </c>
      <c r="E14" s="22" t="s">
        <v>42</v>
      </c>
      <c r="F14" s="20" t="s">
        <v>261</v>
      </c>
      <c r="G14" s="20" t="s">
        <v>6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6" t="s">
        <v>43</v>
      </c>
      <c r="B15" s="4">
        <f>IFERROR(__xludf.DUMMYFUNCTION("IMPORTRANGE(""https://docs.google.com/spreadsheets/d/13zDiYSWN14dhBU8OxlbATFo4qBXba3m2YDRZbxsxouQ/edit?gid=0#gid=0"", ""CA8"")"),333.0)</f>
        <v>333</v>
      </c>
      <c r="C15" s="23" t="s">
        <v>41</v>
      </c>
      <c r="D15" s="8">
        <v>7.0</v>
      </c>
      <c r="E15" s="9" t="s">
        <v>34</v>
      </c>
      <c r="F15" s="20" t="s">
        <v>23</v>
      </c>
      <c r="G15" s="20" t="s">
        <v>261</v>
      </c>
      <c r="H15" s="20" t="s">
        <v>15</v>
      </c>
      <c r="I15" s="20" t="s">
        <v>6</v>
      </c>
      <c r="J15" s="20" t="s">
        <v>44</v>
      </c>
      <c r="K15" s="20" t="s">
        <v>13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6" t="s">
        <v>45</v>
      </c>
      <c r="B16" s="4">
        <f>IFERROR(__xludf.DUMMYFUNCTION("IMPORTRANGE(""https://docs.google.com/spreadsheets/d/13zDiYSWN14dhBU8OxlbATFo4qBXba3m2YDRZbxsxouQ/edit?gid=0#gid=0"", ""CA9"")"),342.0)</f>
        <v>342</v>
      </c>
      <c r="C16" s="23" t="s">
        <v>41</v>
      </c>
      <c r="D16" s="4">
        <v>3.0</v>
      </c>
      <c r="E16" s="22" t="s">
        <v>23</v>
      </c>
      <c r="F16" s="20" t="s">
        <v>261</v>
      </c>
      <c r="G16" s="20" t="s">
        <v>6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6" t="s">
        <v>46</v>
      </c>
      <c r="B17" s="4">
        <f>IFERROR(__xludf.DUMMYFUNCTION("IMPORTRANGE(""https://docs.google.com/spreadsheets/d/13zDiYSWN14dhBU8OxlbATFo4qBXba3m2YDRZbxsxouQ/edit?gid=0#gid=0"", ""CA10"")"),356.0)</f>
        <v>356</v>
      </c>
      <c r="C17" s="23" t="s">
        <v>41</v>
      </c>
      <c r="D17" s="4">
        <v>1.0</v>
      </c>
      <c r="E17" s="22" t="s">
        <v>13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6" t="s">
        <v>48</v>
      </c>
      <c r="B18" s="4">
        <f>IFERROR(__xludf.DUMMYFUNCTION("IMPORTRANGE(""https://docs.google.com/spreadsheets/d/13zDiYSWN14dhBU8OxlbATFo4qBXba3m2YDRZbxsxouQ/edit?gid=0#gid=0"", ""CA11"")"),376.0)</f>
        <v>376</v>
      </c>
      <c r="C18" s="23" t="s">
        <v>41</v>
      </c>
      <c r="D18" s="4">
        <v>1.0</v>
      </c>
      <c r="E18" s="22" t="s">
        <v>27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6" t="s">
        <v>49</v>
      </c>
      <c r="B19" s="4">
        <f>IFERROR(__xludf.DUMMYFUNCTION("IMPORTRANGE(""https://docs.google.com/spreadsheets/d/13zDiYSWN14dhBU8OxlbATFo4qBXba3m2YDRZbxsxouQ/edit?gid=0#gid=0"", ""CA12"")"),378.0)</f>
        <v>378</v>
      </c>
      <c r="C19" s="23" t="s">
        <v>41</v>
      </c>
      <c r="D19" s="4">
        <v>3.0</v>
      </c>
      <c r="E19" s="22" t="s">
        <v>23</v>
      </c>
      <c r="F19" s="20" t="s">
        <v>261</v>
      </c>
      <c r="G19" s="20" t="s">
        <v>6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6" t="s">
        <v>262</v>
      </c>
      <c r="B20" s="4">
        <f>IFERROR(__xludf.DUMMYFUNCTION("IMPORTRANGE(""https://docs.google.com/spreadsheets/d/13zDiYSWN14dhBU8OxlbATFo4qBXba3m2YDRZbxsxouQ/edit?gid=0#gid=0"", ""CA13"")"),406.0)</f>
        <v>406</v>
      </c>
      <c r="C20" s="23" t="s">
        <v>41</v>
      </c>
      <c r="D20" s="4">
        <v>1.0</v>
      </c>
      <c r="E20" s="22" t="s">
        <v>261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6" t="s">
        <v>50</v>
      </c>
      <c r="B21" s="4">
        <f>IFERROR(__xludf.DUMMYFUNCTION("IMPORTRANGE(""https://docs.google.com/spreadsheets/d/13zDiYSWN14dhBU8OxlbATFo4qBXba3m2YDRZbxsxouQ/edit?gid=0#gid=0"", ""CA14"")"),404.0)</f>
        <v>404</v>
      </c>
      <c r="C21" s="23" t="s">
        <v>41</v>
      </c>
      <c r="D21" s="4">
        <v>1.0</v>
      </c>
      <c r="E21" s="22" t="s">
        <v>51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6" t="s">
        <v>52</v>
      </c>
      <c r="B22" s="4">
        <f>IFERROR(__xludf.DUMMYFUNCTION("IMPORTRANGE(""https://docs.google.com/spreadsheets/d/13zDiYSWN14dhBU8OxlbATFo4qBXba3m2YDRZbxsxouQ/edit?gid=0#gid=0"", ""CA15"")"),435.0)</f>
        <v>435</v>
      </c>
      <c r="C22" s="24" t="s">
        <v>53</v>
      </c>
      <c r="D22" s="4">
        <v>3.0</v>
      </c>
      <c r="E22" s="22" t="s">
        <v>37</v>
      </c>
      <c r="F22" s="20" t="s">
        <v>51</v>
      </c>
      <c r="G22" s="20" t="s">
        <v>6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6" t="s">
        <v>54</v>
      </c>
      <c r="B23" s="4">
        <f>IFERROR(__xludf.DUMMYFUNCTION("IMPORTRANGE(""https://docs.google.com/spreadsheets/d/13zDiYSWN14dhBU8OxlbATFo4qBXba3m2YDRZbxsxouQ/edit?gid=0#gid=0"", ""CA16"")"),436.0)</f>
        <v>436</v>
      </c>
      <c r="C23" s="24" t="s">
        <v>53</v>
      </c>
      <c r="D23" s="4">
        <v>1.0</v>
      </c>
      <c r="E23" s="22" t="s">
        <v>55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6" t="s">
        <v>56</v>
      </c>
      <c r="B24" s="4">
        <f>IFERROR(__xludf.DUMMYFUNCTION("IMPORTRANGE(""https://docs.google.com/spreadsheets/d/13zDiYSWN14dhBU8OxlbATFo4qBXba3m2YDRZbxsxouQ/edit?gid=0#gid=0"", ""CA18"")"),438.0)</f>
        <v>438</v>
      </c>
      <c r="C24" s="24" t="s">
        <v>53</v>
      </c>
      <c r="D24" s="4">
        <v>1.0</v>
      </c>
      <c r="E24" s="22" t="s">
        <v>34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6" t="s">
        <v>57</v>
      </c>
      <c r="B25" s="4">
        <f>IFERROR(__xludf.DUMMYFUNCTION("IMPORTRANGE(""https://docs.google.com/spreadsheets/d/13zDiYSWN14dhBU8OxlbATFo4qBXba3m2YDRZbxsxouQ/edit?gid=0#gid=0"", ""CA163"")"),444.0)</f>
        <v>444</v>
      </c>
      <c r="C25" s="24" t="s">
        <v>53</v>
      </c>
      <c r="D25" s="4">
        <v>1.0</v>
      </c>
      <c r="E25" s="22" t="s">
        <v>58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6" t="s">
        <v>59</v>
      </c>
      <c r="B26" s="4">
        <f>IFERROR(__xludf.DUMMYFUNCTION("IMPORTRANGE(""https://docs.google.com/spreadsheets/d/13zDiYSWN14dhBU8OxlbATFo4qBXba3m2YDRZbxsxouQ/edit?gid=0#gid=0"", ""CA20"")"),460.0)</f>
        <v>460</v>
      </c>
      <c r="C26" s="24" t="s">
        <v>53</v>
      </c>
      <c r="D26" s="4">
        <v>1.0</v>
      </c>
      <c r="E26" s="22" t="s">
        <v>60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6" t="s">
        <v>61</v>
      </c>
      <c r="B27" s="4">
        <f>IFERROR(__xludf.DUMMYFUNCTION("IMPORTRANGE(""https://docs.google.com/spreadsheets/d/13zDiYSWN14dhBU8OxlbATFo4qBXba3m2YDRZbxsxouQ/edit?gid=0#gid=0"", ""CA19"")"),464.0)</f>
        <v>464</v>
      </c>
      <c r="C27" s="24" t="s">
        <v>53</v>
      </c>
      <c r="D27" s="4">
        <v>1.0</v>
      </c>
      <c r="E27" s="22" t="s">
        <v>62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6" t="s">
        <v>63</v>
      </c>
      <c r="B28" s="4">
        <f>IFERROR(__xludf.DUMMYFUNCTION("IMPORTRANGE(""https://docs.google.com/spreadsheets/d/13zDiYSWN14dhBU8OxlbATFo4qBXba3m2YDRZbxsxouQ/edit?gid=0#gid=0"", ""CA21"")"),467.0)</f>
        <v>467</v>
      </c>
      <c r="C28" s="24" t="s">
        <v>53</v>
      </c>
      <c r="D28" s="8">
        <v>4.0</v>
      </c>
      <c r="E28" s="9" t="s">
        <v>62</v>
      </c>
      <c r="F28" s="10" t="s">
        <v>34</v>
      </c>
      <c r="G28" s="20" t="s">
        <v>51</v>
      </c>
      <c r="H28" s="20" t="s">
        <v>64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6" t="s">
        <v>65</v>
      </c>
      <c r="B29" s="4">
        <f>IFERROR(__xludf.DUMMYFUNCTION("IMPORTRANGE(""https://docs.google.com/spreadsheets/d/13zDiYSWN14dhBU8OxlbATFo4qBXba3m2YDRZbxsxouQ/edit?gid=0#gid=0"", ""CA24"")"),486.0)</f>
        <v>486</v>
      </c>
      <c r="C29" s="25" t="s">
        <v>66</v>
      </c>
      <c r="D29" s="4">
        <v>1.0</v>
      </c>
      <c r="E29" s="22" t="s">
        <v>34</v>
      </c>
      <c r="F29" s="9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6" t="s">
        <v>67</v>
      </c>
      <c r="B30" s="4">
        <f>IFERROR(__xludf.DUMMYFUNCTION("IMPORTRANGE(""https://docs.google.com/spreadsheets/d/13zDiYSWN14dhBU8OxlbATFo4qBXba3m2YDRZbxsxouQ/edit?gid=0#gid=0"", ""CA17"")"),498.0)</f>
        <v>498</v>
      </c>
      <c r="C30" s="25" t="s">
        <v>66</v>
      </c>
      <c r="D30" s="4">
        <v>1.0</v>
      </c>
      <c r="E30" s="22" t="s">
        <v>42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6" t="s">
        <v>68</v>
      </c>
      <c r="B31" s="4">
        <f>IFERROR(__xludf.DUMMYFUNCTION("IMPORTRANGE(""https://docs.google.com/spreadsheets/d/13zDiYSWN14dhBU8OxlbATFo4qBXba3m2YDRZbxsxouQ/edit?gid=0#gid=0"", ""CA22"")"),499.0)</f>
        <v>499</v>
      </c>
      <c r="C31" s="25" t="s">
        <v>66</v>
      </c>
      <c r="D31" s="8">
        <v>4.0</v>
      </c>
      <c r="E31" s="9" t="s">
        <v>55</v>
      </c>
      <c r="F31" s="20" t="s">
        <v>23</v>
      </c>
      <c r="G31" s="20" t="s">
        <v>13</v>
      </c>
      <c r="H31" s="20" t="s">
        <v>64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6" t="s">
        <v>69</v>
      </c>
      <c r="B32" s="4">
        <f>IFERROR(__xludf.DUMMYFUNCTION("IMPORTRANGE(""https://docs.google.com/spreadsheets/d/13zDiYSWN14dhBU8OxlbATFo4qBXba3m2YDRZbxsxouQ/edit?gid=0#gid=0"", ""CA23"")"),504.0)</f>
        <v>504</v>
      </c>
      <c r="C32" s="25" t="s">
        <v>66</v>
      </c>
      <c r="D32" s="8">
        <v>5.0</v>
      </c>
      <c r="E32" s="9" t="s">
        <v>42</v>
      </c>
      <c r="F32" s="20" t="s">
        <v>27</v>
      </c>
      <c r="G32" s="20" t="s">
        <v>70</v>
      </c>
      <c r="H32" s="20" t="s">
        <v>26</v>
      </c>
      <c r="I32" s="20" t="s">
        <v>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6" t="s">
        <v>72</v>
      </c>
      <c r="B33" s="4">
        <f>IFERROR(__xludf.DUMMYFUNCTION("IMPORTRANGE(""https://docs.google.com/spreadsheets/d/13zDiYSWN14dhBU8OxlbATFo4qBXba3m2YDRZbxsxouQ/edit?gid=0#gid=0"", ""CA25"")"),517.0)</f>
        <v>517</v>
      </c>
      <c r="C33" s="25" t="s">
        <v>66</v>
      </c>
      <c r="D33" s="4">
        <v>2.0</v>
      </c>
      <c r="E33" s="22" t="s">
        <v>42</v>
      </c>
      <c r="F33" s="20" t="s">
        <v>6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6" t="s">
        <v>263</v>
      </c>
      <c r="B34" s="4">
        <f>IFERROR(__xludf.DUMMYFUNCTION("IMPORTRANGE(""https://docs.google.com/spreadsheets/d/13zDiYSWN14dhBU8OxlbATFo4qBXba3m2YDRZbxsxouQ/edit?gid=0#gid=0"", ""CA153"")"),521.0)</f>
        <v>521</v>
      </c>
      <c r="C34" s="25" t="s">
        <v>66</v>
      </c>
      <c r="D34" s="4">
        <v>1.0</v>
      </c>
      <c r="E34" s="5" t="s">
        <v>261</v>
      </c>
    </row>
    <row r="35">
      <c r="A35" s="6" t="s">
        <v>74</v>
      </c>
      <c r="B35" s="4">
        <f>IFERROR(__xludf.DUMMYFUNCTION("IMPORTRANGE(""https://docs.google.com/spreadsheets/d/13zDiYSWN14dhBU8OxlbATFo4qBXba3m2YDRZbxsxouQ/edit?gid=0#gid=0"", ""CA129"")"),528.0)</f>
        <v>528</v>
      </c>
      <c r="C35" s="25" t="s">
        <v>66</v>
      </c>
      <c r="D35" s="4">
        <v>1.0</v>
      </c>
      <c r="E35" s="5" t="s">
        <v>6</v>
      </c>
    </row>
    <row r="36">
      <c r="A36" s="6" t="s">
        <v>75</v>
      </c>
      <c r="B36" s="4">
        <f>IFERROR(__xludf.DUMMYFUNCTION("IMPORTRANGE(""https://docs.google.com/spreadsheets/d/13zDiYSWN14dhBU8OxlbATFo4qBXba3m2YDRZbxsxouQ/edit?gid=0#gid=0"", ""CA26"")"),546.0)</f>
        <v>546</v>
      </c>
      <c r="C36" s="25" t="s">
        <v>66</v>
      </c>
      <c r="D36" s="4">
        <v>1.0</v>
      </c>
      <c r="E36" s="5" t="s">
        <v>21</v>
      </c>
    </row>
    <row r="37">
      <c r="A37" s="6" t="s">
        <v>76</v>
      </c>
      <c r="B37" s="4">
        <f>IFERROR(__xludf.DUMMYFUNCTION("IMPORTRANGE(""https://docs.google.com/spreadsheets/d/13zDiYSWN14dhBU8OxlbATFo4qBXba3m2YDRZbxsxouQ/edit?gid=0#gid=0"", ""CA143"")"),558.0)</f>
        <v>558</v>
      </c>
      <c r="C37" s="25" t="s">
        <v>66</v>
      </c>
      <c r="D37" s="4">
        <v>1.0</v>
      </c>
      <c r="E37" s="22" t="s">
        <v>11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6" t="s">
        <v>77</v>
      </c>
      <c r="B38" s="4">
        <f>IFERROR(__xludf.DUMMYFUNCTION("IMPORTRANGE(""https://docs.google.com/spreadsheets/d/13zDiYSWN14dhBU8OxlbATFo4qBXba3m2YDRZbxsxouQ/edit?gid=0#gid=0"", ""CA27"")"),571.0)</f>
        <v>571</v>
      </c>
      <c r="C38" s="25" t="s">
        <v>66</v>
      </c>
      <c r="D38" s="8">
        <v>9.0</v>
      </c>
      <c r="E38" s="9" t="s">
        <v>34</v>
      </c>
      <c r="F38" s="20" t="s">
        <v>11</v>
      </c>
      <c r="G38" s="20" t="s">
        <v>15</v>
      </c>
      <c r="H38" s="20" t="s">
        <v>261</v>
      </c>
      <c r="I38" s="20" t="s">
        <v>51</v>
      </c>
      <c r="J38" s="20" t="s">
        <v>78</v>
      </c>
      <c r="K38" s="20" t="s">
        <v>44</v>
      </c>
      <c r="L38" s="20" t="s">
        <v>6</v>
      </c>
      <c r="M38" s="20" t="s">
        <v>79</v>
      </c>
      <c r="N38" s="20" t="s">
        <v>13</v>
      </c>
      <c r="O38" s="11"/>
      <c r="P38" s="11"/>
      <c r="Q38" s="11"/>
      <c r="R38" s="11"/>
      <c r="S38" s="11"/>
      <c r="T38" s="11"/>
      <c r="U38" s="11"/>
      <c r="V38" s="11"/>
    </row>
    <row r="39">
      <c r="A39" s="6" t="s">
        <v>80</v>
      </c>
      <c r="B39" s="4">
        <f>IFERROR(__xludf.DUMMYFUNCTION("IMPORTRANGE(""https://docs.google.com/spreadsheets/d/13zDiYSWN14dhBU8OxlbATFo4qBXba3m2YDRZbxsxouQ/edit?gid=0#gid=0"", ""CA29"")"),578.0)</f>
        <v>578</v>
      </c>
      <c r="C39" s="25" t="s">
        <v>66</v>
      </c>
      <c r="D39" s="4">
        <v>1.0</v>
      </c>
      <c r="E39" s="22" t="s">
        <v>34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6" t="s">
        <v>81</v>
      </c>
      <c r="B40" s="4">
        <f>IFERROR(__xludf.DUMMYFUNCTION("IMPORTRANGE(""https://docs.google.com/spreadsheets/d/13zDiYSWN14dhBU8OxlbATFo4qBXba3m2YDRZbxsxouQ/edit?gid=0#gid=0"", ""CA28"")"),581.0)</f>
        <v>581</v>
      </c>
      <c r="C40" s="25" t="s">
        <v>66</v>
      </c>
      <c r="D40" s="4">
        <v>1.0</v>
      </c>
      <c r="E40" s="22" t="s">
        <v>37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6" t="s">
        <v>82</v>
      </c>
      <c r="B41" s="4">
        <f>IFERROR(__xludf.DUMMYFUNCTION("IMPORTRANGE(""https://docs.google.com/spreadsheets/d/13zDiYSWN14dhBU8OxlbATFo4qBXba3m2YDRZbxsxouQ/edit?gid=0#gid=0"", ""CA146"")"),583.0)</f>
        <v>583</v>
      </c>
      <c r="C41" s="27" t="s">
        <v>83</v>
      </c>
      <c r="D41" s="4">
        <v>1.0</v>
      </c>
      <c r="E41" s="22" t="s">
        <v>26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6" t="s">
        <v>84</v>
      </c>
      <c r="B42" s="4">
        <f>IFERROR(__xludf.DUMMYFUNCTION("IMPORTRANGE(""https://docs.google.com/spreadsheets/d/13zDiYSWN14dhBU8OxlbATFo4qBXba3m2YDRZbxsxouQ/edit?gid=0#gid=0"", ""CA30"")"),585.0)</f>
        <v>585</v>
      </c>
      <c r="C42" s="27" t="s">
        <v>83</v>
      </c>
      <c r="D42" s="4">
        <v>2.0</v>
      </c>
      <c r="E42" s="22" t="s">
        <v>34</v>
      </c>
      <c r="F42" s="20" t="s">
        <v>27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6" t="s">
        <v>85</v>
      </c>
      <c r="B43" s="4">
        <f>IFERROR(__xludf.DUMMYFUNCTION("IMPORTRANGE(""https://docs.google.com/spreadsheets/d/13zDiYSWN14dhBU8OxlbATFo4qBXba3m2YDRZbxsxouQ/edit?gid=0#gid=0"", ""CA157"")"),593.0)</f>
        <v>593</v>
      </c>
      <c r="C43" s="27" t="s">
        <v>83</v>
      </c>
      <c r="D43" s="8">
        <v>1.0</v>
      </c>
      <c r="E43" s="9" t="s">
        <v>58</v>
      </c>
      <c r="F43" s="9"/>
      <c r="G43" s="9"/>
      <c r="H43" s="9"/>
      <c r="I43" s="9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6" t="s">
        <v>86</v>
      </c>
      <c r="B44" s="4">
        <f>IFERROR(__xludf.DUMMYFUNCTION("IMPORTRANGE(""https://docs.google.com/spreadsheets/d/13zDiYSWN14dhBU8OxlbATFo4qBXba3m2YDRZbxsxouQ/edit?gid=0#gid=0"", ""CA142"")"),599.0)</f>
        <v>599</v>
      </c>
      <c r="C44" s="27" t="s">
        <v>83</v>
      </c>
      <c r="D44" s="8">
        <v>1.0</v>
      </c>
      <c r="E44" s="9" t="s">
        <v>37</v>
      </c>
      <c r="F44" s="9"/>
      <c r="G44" s="9"/>
      <c r="H44" s="9"/>
      <c r="I44" s="9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6" t="s">
        <v>87</v>
      </c>
      <c r="B45" s="4">
        <f>IFERROR(__xludf.DUMMYFUNCTION("IMPORTRANGE(""https://docs.google.com/spreadsheets/d/13zDiYSWN14dhBU8OxlbATFo4qBXba3m2YDRZbxsxouQ/edit?gid=0#gid=0"", ""CA31"")"),621.0)</f>
        <v>621</v>
      </c>
      <c r="C45" s="27" t="s">
        <v>83</v>
      </c>
      <c r="D45" s="8">
        <v>6.0</v>
      </c>
      <c r="E45" s="9" t="s">
        <v>37</v>
      </c>
      <c r="F45" s="20" t="s">
        <v>261</v>
      </c>
      <c r="G45" s="20" t="s">
        <v>26</v>
      </c>
      <c r="H45" s="20" t="s">
        <v>51</v>
      </c>
      <c r="I45" s="20" t="s">
        <v>6</v>
      </c>
      <c r="J45" s="20" t="s">
        <v>64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6" t="s">
        <v>88</v>
      </c>
      <c r="B46" s="4">
        <f>IFERROR(__xludf.DUMMYFUNCTION("IMPORTRANGE(""https://docs.google.com/spreadsheets/d/13zDiYSWN14dhBU8OxlbATFo4qBXba3m2YDRZbxsxouQ/edit?gid=0#gid=0"", ""CA32"")"),626.0)</f>
        <v>626</v>
      </c>
      <c r="C46" s="17" t="s">
        <v>20</v>
      </c>
      <c r="D46" s="8">
        <v>1.0</v>
      </c>
      <c r="E46" s="9" t="s">
        <v>21</v>
      </c>
      <c r="F46" s="9"/>
      <c r="G46" s="9"/>
      <c r="H46" s="9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6" t="s">
        <v>89</v>
      </c>
      <c r="B47" s="4">
        <f>IFERROR(__xludf.DUMMYFUNCTION("IMPORTRANGE(""https://docs.google.com/spreadsheets/d/13zDiYSWN14dhBU8OxlbATFo4qBXba3m2YDRZbxsxouQ/edit?gid=0#gid=0"", ""CA33"")"),627.0)</f>
        <v>627</v>
      </c>
      <c r="C47" s="27" t="s">
        <v>83</v>
      </c>
      <c r="D47" s="8">
        <v>1.0</v>
      </c>
      <c r="E47" s="9" t="s">
        <v>37</v>
      </c>
      <c r="F47" s="9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6" t="s">
        <v>90</v>
      </c>
      <c r="B48" s="4">
        <f>IFERROR(__xludf.DUMMYFUNCTION("IMPORTRANGE(""https://docs.google.com/spreadsheets/d/13zDiYSWN14dhBU8OxlbATFo4qBXba3m2YDRZbxsxouQ/edit?gid=0#gid=0"", ""CA34"")"),632.0)</f>
        <v>632</v>
      </c>
      <c r="C48" s="27" t="s">
        <v>83</v>
      </c>
      <c r="D48" s="8">
        <v>3.0</v>
      </c>
      <c r="E48" s="9" t="s">
        <v>51</v>
      </c>
      <c r="F48" s="20" t="s">
        <v>27</v>
      </c>
      <c r="G48" s="20" t="s">
        <v>11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6" t="s">
        <v>91</v>
      </c>
      <c r="B49" s="4">
        <f>IFERROR(__xludf.DUMMYFUNCTION("IMPORTRANGE(""https://docs.google.com/spreadsheets/d/13zDiYSWN14dhBU8OxlbATFo4qBXba3m2YDRZbxsxouQ/edit?gid=0#gid=0"", ""CA35"")"),651.0)</f>
        <v>651</v>
      </c>
      <c r="C49" s="28" t="s">
        <v>92</v>
      </c>
      <c r="D49" s="4">
        <v>3.0</v>
      </c>
      <c r="E49" s="22" t="s">
        <v>37</v>
      </c>
      <c r="F49" s="20" t="s">
        <v>21</v>
      </c>
      <c r="G49" s="20" t="s">
        <v>60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6" t="s">
        <v>93</v>
      </c>
      <c r="B50" s="4">
        <f>IFERROR(__xludf.DUMMYFUNCTION("IMPORTRANGE(""https://docs.google.com/spreadsheets/d/13zDiYSWN14dhBU8OxlbATFo4qBXba3m2YDRZbxsxouQ/edit?gid=0#gid=0"", ""CA36"")"),652.0)</f>
        <v>652</v>
      </c>
      <c r="C50" s="17" t="s">
        <v>20</v>
      </c>
      <c r="D50" s="4">
        <v>1.0</v>
      </c>
      <c r="E50" s="22" t="s">
        <v>21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6" t="s">
        <v>94</v>
      </c>
      <c r="B51" s="4">
        <f>IFERROR(__xludf.DUMMYFUNCTION("IMPORTRANGE(""https://docs.google.com/spreadsheets/d/13zDiYSWN14dhBU8OxlbATFo4qBXba3m2YDRZbxsxouQ/edit?gid=0#gid=0"", ""CA123"")"),657.0)</f>
        <v>657</v>
      </c>
      <c r="C51" s="27" t="s">
        <v>83</v>
      </c>
      <c r="D51" s="4">
        <v>1.0</v>
      </c>
      <c r="E51" s="22" t="s">
        <v>6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6" t="s">
        <v>95</v>
      </c>
      <c r="B52" s="4">
        <f>IFERROR(__xludf.DUMMYFUNCTION("IMPORTRANGE(""https://docs.google.com/spreadsheets/d/13zDiYSWN14dhBU8OxlbATFo4qBXba3m2YDRZbxsxouQ/edit?gid=0#gid=0"", ""CA37"")"),660.0)</f>
        <v>660</v>
      </c>
      <c r="C52" s="17" t="s">
        <v>20</v>
      </c>
      <c r="D52" s="4">
        <v>1.0</v>
      </c>
      <c r="E52" s="22" t="s">
        <v>21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6" t="s">
        <v>98</v>
      </c>
      <c r="B53" s="4">
        <f>IFERROR(__xludf.DUMMYFUNCTION("IMPORTRANGE(""https://docs.google.com/spreadsheets/d/13zDiYSWN14dhBU8OxlbATFo4qBXba3m2YDRZbxsxouQ/edit?gid=0#gid=0"", ""CA39"")"),672.0)</f>
        <v>672</v>
      </c>
      <c r="C53" s="28" t="s">
        <v>92</v>
      </c>
      <c r="D53" s="8">
        <v>12.0</v>
      </c>
      <c r="E53" s="9" t="s">
        <v>62</v>
      </c>
      <c r="F53" s="10" t="s">
        <v>23</v>
      </c>
      <c r="G53" s="20" t="s">
        <v>261</v>
      </c>
      <c r="H53" s="20" t="s">
        <v>34</v>
      </c>
      <c r="I53" s="20" t="s">
        <v>27</v>
      </c>
      <c r="J53" s="20" t="s">
        <v>70</v>
      </c>
      <c r="K53" s="20" t="s">
        <v>13</v>
      </c>
      <c r="L53" s="6" t="s">
        <v>21</v>
      </c>
      <c r="M53" s="20" t="s">
        <v>6</v>
      </c>
      <c r="N53" s="20" t="s">
        <v>55</v>
      </c>
      <c r="O53" s="20" t="s">
        <v>30</v>
      </c>
      <c r="P53" s="20" t="s">
        <v>11</v>
      </c>
      <c r="Q53" s="11"/>
      <c r="R53" s="11"/>
      <c r="S53" s="11"/>
      <c r="T53" s="11"/>
      <c r="U53" s="11"/>
      <c r="V53" s="11"/>
    </row>
    <row r="54">
      <c r="A54" s="6" t="s">
        <v>102</v>
      </c>
      <c r="B54" s="4">
        <f>IFERROR(__xludf.DUMMYFUNCTION("IMPORTRANGE(""https://docs.google.com/spreadsheets/d/13zDiYSWN14dhBU8OxlbATFo4qBXba3m2YDRZbxsxouQ/edit?gid=0#gid=0"", ""CA40"")"),679.0)</f>
        <v>679</v>
      </c>
      <c r="C54" s="28" t="s">
        <v>92</v>
      </c>
      <c r="D54" s="4">
        <v>5.0</v>
      </c>
      <c r="E54" s="22" t="s">
        <v>34</v>
      </c>
      <c r="F54" s="20" t="s">
        <v>261</v>
      </c>
      <c r="G54" s="20" t="s">
        <v>23</v>
      </c>
      <c r="H54" s="20" t="s">
        <v>70</v>
      </c>
      <c r="I54" s="20" t="s">
        <v>6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6" t="s">
        <v>103</v>
      </c>
      <c r="B55" s="4">
        <f>IFERROR(__xludf.DUMMYFUNCTION("IMPORTRANGE(""https://docs.google.com/spreadsheets/d/13zDiYSWN14dhBU8OxlbATFo4qBXba3m2YDRZbxsxouQ/edit?gid=0#gid=0"", ""CA161"")"),683.0)</f>
        <v>683</v>
      </c>
      <c r="C55" s="28" t="s">
        <v>92</v>
      </c>
      <c r="D55" s="4">
        <v>1.0</v>
      </c>
      <c r="E55" s="22" t="s">
        <v>11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6" t="s">
        <v>104</v>
      </c>
      <c r="B56" s="4">
        <f>IFERROR(__xludf.DUMMYFUNCTION("IMPORTRANGE(""https://docs.google.com/spreadsheets/d/13zDiYSWN14dhBU8OxlbATFo4qBXba3m2YDRZbxsxouQ/edit?gid=0#gid=0"", ""CA41"")"),689.0)</f>
        <v>689</v>
      </c>
      <c r="C56" s="28" t="s">
        <v>92</v>
      </c>
      <c r="D56" s="4">
        <v>1.0</v>
      </c>
      <c r="E56" s="22" t="s">
        <v>42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6" t="s">
        <v>105</v>
      </c>
      <c r="B57" s="4">
        <f>IFERROR(__xludf.DUMMYFUNCTION("IMPORTRANGE(""https://docs.google.com/spreadsheets/d/13zDiYSWN14dhBU8OxlbATFo4qBXba3m2YDRZbxsxouQ/edit?gid=0#gid=0"", ""CA42"")"),691.0)</f>
        <v>691</v>
      </c>
      <c r="C57" s="28" t="s">
        <v>92</v>
      </c>
      <c r="D57" s="8">
        <v>4.0</v>
      </c>
      <c r="E57" s="9" t="s">
        <v>23</v>
      </c>
      <c r="F57" s="20" t="s">
        <v>34</v>
      </c>
      <c r="G57" s="20" t="s">
        <v>261</v>
      </c>
      <c r="H57" s="20" t="s">
        <v>64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6" t="s">
        <v>106</v>
      </c>
      <c r="B58" s="4">
        <f>IFERROR(__xludf.DUMMYFUNCTION("IMPORTRANGE(""https://docs.google.com/spreadsheets/d/13zDiYSWN14dhBU8OxlbATFo4qBXba3m2YDRZbxsxouQ/edit?gid=0#gid=0"", ""CA43"")"),700.0)</f>
        <v>700</v>
      </c>
      <c r="C58" s="28" t="s">
        <v>92</v>
      </c>
      <c r="D58" s="4">
        <v>2.0</v>
      </c>
      <c r="E58" s="22" t="s">
        <v>107</v>
      </c>
      <c r="F58" s="20" t="s">
        <v>30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6" t="s">
        <v>108</v>
      </c>
      <c r="B59" s="4">
        <f>IFERROR(__xludf.DUMMYFUNCTION("IMPORTRANGE(""https://docs.google.com/spreadsheets/d/13zDiYSWN14dhBU8OxlbATFo4qBXba3m2YDRZbxsxouQ/edit?gid=0#gid=0"", ""CA44"")"),706.0)</f>
        <v>706</v>
      </c>
      <c r="C59" s="28" t="s">
        <v>92</v>
      </c>
      <c r="D59" s="4">
        <v>2.0</v>
      </c>
      <c r="E59" s="22" t="s">
        <v>34</v>
      </c>
      <c r="F59" s="20" t="s">
        <v>37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6" t="s">
        <v>109</v>
      </c>
      <c r="B60" s="4">
        <f>IFERROR(__xludf.DUMMYFUNCTION("IMPORTRANGE(""https://docs.google.com/spreadsheets/d/13zDiYSWN14dhBU8OxlbATFo4qBXba3m2YDRZbxsxouQ/edit?gid=0#gid=0"", ""CA45"")"),710.0)</f>
        <v>710</v>
      </c>
      <c r="C60" s="28" t="s">
        <v>92</v>
      </c>
      <c r="D60" s="4">
        <v>1.0</v>
      </c>
      <c r="E60" s="22" t="s">
        <v>51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6" t="s">
        <v>110</v>
      </c>
      <c r="B61" s="4">
        <f>IFERROR(__xludf.DUMMYFUNCTION("IMPORTRANGE(""https://docs.google.com/spreadsheets/d/13zDiYSWN14dhBU8OxlbATFo4qBXba3m2YDRZbxsxouQ/edit?gid=0#gid=0"", ""CA46"")"),713.0)</f>
        <v>713</v>
      </c>
      <c r="C61" s="28" t="s">
        <v>92</v>
      </c>
      <c r="D61" s="4">
        <v>2.0</v>
      </c>
      <c r="E61" s="22" t="s">
        <v>27</v>
      </c>
      <c r="F61" s="20" t="s">
        <v>32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6" t="s">
        <v>264</v>
      </c>
      <c r="B62" s="4">
        <f>IFERROR(__xludf.DUMMYFUNCTION("IMPORTRANGE(""https://docs.google.com/spreadsheets/d/13zDiYSWN14dhBU8OxlbATFo4qBXba3m2YDRZbxsxouQ/edit?gid=0#gid=0"", ""CA47"")"),741.0)</f>
        <v>741</v>
      </c>
      <c r="C62" s="30" t="s">
        <v>123</v>
      </c>
      <c r="D62" s="4">
        <v>1.0</v>
      </c>
      <c r="E62" s="22" t="s">
        <v>261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6" t="s">
        <v>111</v>
      </c>
      <c r="B63" s="4">
        <f>IFERROR(__xludf.DUMMYFUNCTION("IMPORTRANGE(""https://docs.google.com/spreadsheets/d/13zDiYSWN14dhBU8OxlbATFo4qBXba3m2YDRZbxsxouQ/edit?gid=0#gid=0"", ""CA48"")"),717.0)</f>
        <v>717</v>
      </c>
      <c r="C63" s="28" t="s">
        <v>92</v>
      </c>
      <c r="D63" s="4">
        <v>1.0</v>
      </c>
      <c r="E63" s="22" t="s">
        <v>34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6" t="s">
        <v>126</v>
      </c>
      <c r="B64" s="4">
        <f>IFERROR(__xludf.DUMMYFUNCTION("IMPORTRANGE(""https://docs.google.com/spreadsheets/d/13zDiYSWN14dhBU8OxlbATFo4qBXba3m2YDRZbxsxouQ/edit?gid=0#gid=0"", ""CA49"")"),780.0)</f>
        <v>780</v>
      </c>
      <c r="C64" s="28" t="s">
        <v>92</v>
      </c>
      <c r="D64" s="8">
        <v>2.0</v>
      </c>
      <c r="E64" s="9" t="s">
        <v>261</v>
      </c>
      <c r="F64" s="18" t="s">
        <v>37</v>
      </c>
      <c r="G64" s="10"/>
      <c r="H64" s="10"/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>
      <c r="A65" s="6" t="s">
        <v>154</v>
      </c>
      <c r="B65" s="4">
        <f>IFERROR(__xludf.DUMMYFUNCTION("IMPORTRANGE(""https://docs.google.com/spreadsheets/d/13zDiYSWN14dhBU8OxlbATFo4qBXba3m2YDRZbxsxouQ/edit?gid=0#gid=0"", ""CA141"")"),996.0)</f>
        <v>996</v>
      </c>
      <c r="C65" s="28" t="s">
        <v>92</v>
      </c>
      <c r="D65" s="8">
        <v>1.0</v>
      </c>
      <c r="E65" s="9" t="s">
        <v>11</v>
      </c>
      <c r="F65" s="10"/>
      <c r="G65" s="14"/>
      <c r="H65" s="10"/>
      <c r="I65" s="10"/>
      <c r="J65" s="10"/>
      <c r="K65" s="9"/>
      <c r="L65" s="9"/>
      <c r="M65" s="9"/>
      <c r="N65" s="9"/>
      <c r="O65" s="9"/>
      <c r="P65" s="9"/>
      <c r="Q65" s="9"/>
      <c r="R65" s="9"/>
      <c r="S65" s="9"/>
      <c r="T65" s="26"/>
      <c r="U65" s="26"/>
      <c r="V65" s="26"/>
      <c r="W65" s="9"/>
      <c r="X65" s="26"/>
      <c r="Y65" s="26"/>
      <c r="Z65" s="26"/>
    </row>
    <row r="66">
      <c r="A66" s="6" t="s">
        <v>113</v>
      </c>
      <c r="B66" s="4">
        <f>IFERROR(__xludf.DUMMYFUNCTION("IMPORTRANGE(""https://docs.google.com/spreadsheets/d/13zDiYSWN14dhBU8OxlbATFo4qBXba3m2YDRZbxsxouQ/edit?gid=0#gid=0"", ""CA139"")"),752.0)</f>
        <v>752</v>
      </c>
      <c r="C66" s="28" t="s">
        <v>92</v>
      </c>
      <c r="D66" s="8">
        <v>7.0</v>
      </c>
      <c r="E66" s="9" t="s">
        <v>37</v>
      </c>
      <c r="F66" s="18" t="s">
        <v>27</v>
      </c>
      <c r="G66" s="20" t="s">
        <v>32</v>
      </c>
      <c r="H66" s="20" t="s">
        <v>21</v>
      </c>
      <c r="I66" s="20" t="s">
        <v>114</v>
      </c>
      <c r="J66" s="20" t="s">
        <v>64</v>
      </c>
      <c r="K66" s="20" t="s">
        <v>38</v>
      </c>
      <c r="L66" s="26"/>
      <c r="M66" s="9"/>
      <c r="N66" s="9"/>
      <c r="O66" s="11"/>
      <c r="P66" s="11"/>
      <c r="Q66" s="11"/>
      <c r="R66" s="11"/>
      <c r="S66" s="11"/>
      <c r="T66" s="11"/>
      <c r="U66" s="11"/>
      <c r="V66" s="11"/>
    </row>
    <row r="67">
      <c r="A67" s="6" t="s">
        <v>115</v>
      </c>
      <c r="B67" s="4">
        <f>IFERROR(__xludf.DUMMYFUNCTION("IMPORTRANGE(""https://docs.google.com/spreadsheets/d/13zDiYSWN14dhBU8OxlbATFo4qBXba3m2YDRZbxsxouQ/edit?gid=0#gid=0"", ""CA50"")"),753.0)</f>
        <v>753</v>
      </c>
      <c r="C67" s="28" t="s">
        <v>92</v>
      </c>
      <c r="D67" s="8">
        <v>29.0</v>
      </c>
      <c r="E67" s="9" t="s">
        <v>34</v>
      </c>
      <c r="F67" s="10" t="s">
        <v>62</v>
      </c>
      <c r="G67" s="18" t="s">
        <v>51</v>
      </c>
      <c r="H67" s="10" t="s">
        <v>261</v>
      </c>
      <c r="I67" s="10" t="s">
        <v>73</v>
      </c>
      <c r="J67" s="10" t="s">
        <v>37</v>
      </c>
      <c r="K67" s="20" t="s">
        <v>29</v>
      </c>
      <c r="L67" s="20" t="s">
        <v>27</v>
      </c>
      <c r="M67" s="20" t="s">
        <v>116</v>
      </c>
      <c r="N67" s="20" t="s">
        <v>70</v>
      </c>
      <c r="O67" s="20" t="s">
        <v>117</v>
      </c>
      <c r="P67" s="20" t="s">
        <v>15</v>
      </c>
      <c r="Q67" s="20" t="s">
        <v>23</v>
      </c>
      <c r="R67" s="20" t="s">
        <v>118</v>
      </c>
      <c r="S67" s="20" t="s">
        <v>13</v>
      </c>
      <c r="T67" s="6" t="s">
        <v>32</v>
      </c>
      <c r="U67" s="6" t="s">
        <v>55</v>
      </c>
      <c r="V67" s="6" t="s">
        <v>26</v>
      </c>
      <c r="W67" s="20" t="s">
        <v>78</v>
      </c>
      <c r="X67" s="6" t="s">
        <v>107</v>
      </c>
      <c r="Y67" s="6" t="s">
        <v>101</v>
      </c>
      <c r="Z67" s="6" t="s">
        <v>6</v>
      </c>
      <c r="AA67" s="6" t="s">
        <v>79</v>
      </c>
      <c r="AB67" s="6" t="s">
        <v>44</v>
      </c>
      <c r="AC67" s="6" t="s">
        <v>64</v>
      </c>
      <c r="AD67" s="6" t="s">
        <v>38</v>
      </c>
      <c r="AE67" s="6" t="s">
        <v>114</v>
      </c>
      <c r="AF67" s="6" t="s">
        <v>119</v>
      </c>
      <c r="AG67" s="6" t="s">
        <v>120</v>
      </c>
    </row>
    <row r="68">
      <c r="A68" s="6" t="s">
        <v>122</v>
      </c>
      <c r="B68" s="4">
        <f>IFERROR(__xludf.DUMMYFUNCTION("IMPORTRANGE(""https://docs.google.com/spreadsheets/d/13zDiYSWN14dhBU8OxlbATFo4qBXba3m2YDRZbxsxouQ/edit?gid=0#gid=0"", ""CA51"")"),758.0)</f>
        <v>758</v>
      </c>
      <c r="C68" s="30" t="s">
        <v>123</v>
      </c>
      <c r="D68" s="4">
        <v>3.0</v>
      </c>
      <c r="E68" s="22" t="s">
        <v>34</v>
      </c>
      <c r="F68" s="20" t="s">
        <v>26</v>
      </c>
      <c r="G68" s="18" t="s">
        <v>6</v>
      </c>
      <c r="H68" s="10"/>
      <c r="I68" s="10"/>
      <c r="J68" s="11"/>
      <c r="K68" s="11"/>
      <c r="L68" s="11"/>
      <c r="M68" s="11"/>
      <c r="N68" s="11"/>
      <c r="O68" s="11"/>
      <c r="P68" s="11"/>
      <c r="Q68" s="11"/>
      <c r="S68" s="11"/>
      <c r="T68" s="11"/>
      <c r="U68" s="11"/>
      <c r="V68" s="11"/>
    </row>
    <row r="69">
      <c r="A69" s="6" t="s">
        <v>124</v>
      </c>
      <c r="B69" s="4">
        <f>IFERROR(__xludf.DUMMYFUNCTION("IMPORTRANGE(""https://docs.google.com/spreadsheets/d/13zDiYSWN14dhBU8OxlbATFo4qBXba3m2YDRZbxsxouQ/edit?gid=0#gid=0"", ""CA52"")"),762.0)</f>
        <v>762</v>
      </c>
      <c r="C69" s="28" t="s">
        <v>92</v>
      </c>
      <c r="D69" s="8">
        <v>13.0</v>
      </c>
      <c r="E69" s="9" t="s">
        <v>51</v>
      </c>
      <c r="F69" s="10" t="s">
        <v>116</v>
      </c>
      <c r="G69" s="10" t="s">
        <v>261</v>
      </c>
      <c r="H69" s="10" t="s">
        <v>37</v>
      </c>
      <c r="I69" s="10" t="s">
        <v>27</v>
      </c>
      <c r="J69" s="20" t="s">
        <v>13</v>
      </c>
      <c r="K69" s="20" t="s">
        <v>60</v>
      </c>
      <c r="L69" s="20" t="s">
        <v>125</v>
      </c>
      <c r="M69" s="20" t="s">
        <v>114</v>
      </c>
      <c r="N69" s="20" t="s">
        <v>21</v>
      </c>
      <c r="O69" s="20" t="s">
        <v>64</v>
      </c>
      <c r="P69" s="20" t="s">
        <v>38</v>
      </c>
      <c r="Q69" s="20" t="s">
        <v>26</v>
      </c>
      <c r="R69" s="11"/>
      <c r="S69" s="11"/>
      <c r="T69" s="11"/>
      <c r="U69" s="11"/>
      <c r="V69" s="11"/>
    </row>
    <row r="70">
      <c r="A70" s="6" t="s">
        <v>128</v>
      </c>
      <c r="B70" s="4">
        <f>IFERROR(__xludf.DUMMYFUNCTION("IMPORTRANGE(""https://docs.google.com/spreadsheets/d/13zDiYSWN14dhBU8OxlbATFo4qBXba3m2YDRZbxsxouQ/edit?gid=0#gid=0"", ""CA144"")"),783.0)</f>
        <v>783</v>
      </c>
      <c r="C70" s="17" t="s">
        <v>20</v>
      </c>
      <c r="D70" s="4">
        <v>1.0</v>
      </c>
      <c r="E70" s="22" t="s">
        <v>21</v>
      </c>
      <c r="F70" s="9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6" t="s">
        <v>127</v>
      </c>
      <c r="B71" s="4">
        <f>IFERROR(__xludf.DUMMYFUNCTION("IMPORTRANGE(""https://docs.google.com/spreadsheets/d/13zDiYSWN14dhBU8OxlbATFo4qBXba3m2YDRZbxsxouQ/edit?gid=0#gid=0"", ""CA53"")"),774.0)</f>
        <v>774</v>
      </c>
      <c r="C71" s="30" t="s">
        <v>123</v>
      </c>
      <c r="D71" s="4">
        <v>3.0</v>
      </c>
      <c r="E71" s="22" t="s">
        <v>37</v>
      </c>
      <c r="F71" s="20" t="s">
        <v>44</v>
      </c>
      <c r="G71" s="20" t="s">
        <v>13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6" t="s">
        <v>129</v>
      </c>
      <c r="B72" s="4">
        <f>IFERROR(__xludf.DUMMYFUNCTION("IMPORTRANGE(""https://docs.google.com/spreadsheets/d/13zDiYSWN14dhBU8OxlbATFo4qBXba3m2YDRZbxsxouQ/edit?gid=0#gid=0"", ""CA54"")"),784.0)</f>
        <v>784</v>
      </c>
      <c r="C72" s="30" t="s">
        <v>123</v>
      </c>
      <c r="D72" s="4">
        <v>2.0</v>
      </c>
      <c r="E72" s="22" t="s">
        <v>261</v>
      </c>
      <c r="F72" s="18" t="s">
        <v>21</v>
      </c>
      <c r="G72" s="14"/>
      <c r="H72" s="10"/>
      <c r="I72" s="9"/>
      <c r="J72" s="10"/>
      <c r="K72" s="10"/>
      <c r="L72" s="10"/>
      <c r="M72" s="9"/>
      <c r="N72" s="10"/>
      <c r="O72" s="9"/>
      <c r="P72" s="9"/>
      <c r="Q72" s="9"/>
      <c r="R72" s="9"/>
      <c r="S72" s="9"/>
      <c r="T72" s="9"/>
      <c r="U72" s="9"/>
      <c r="V72" s="11"/>
    </row>
    <row r="73">
      <c r="A73" s="6" t="s">
        <v>130</v>
      </c>
      <c r="B73" s="4">
        <f>IFERROR(__xludf.DUMMYFUNCTION("IMPORTRANGE(""https://docs.google.com/spreadsheets/d/13zDiYSWN14dhBU8OxlbATFo4qBXba3m2YDRZbxsxouQ/edit?gid=0#gid=0"", ""CA55"")"),787.0)</f>
        <v>787</v>
      </c>
      <c r="C73" s="30" t="s">
        <v>123</v>
      </c>
      <c r="D73" s="4">
        <v>2.0</v>
      </c>
      <c r="E73" s="22" t="s">
        <v>51</v>
      </c>
      <c r="F73" s="20" t="s">
        <v>26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6" t="s">
        <v>131</v>
      </c>
      <c r="B74" s="4">
        <f>IFERROR(__xludf.DUMMYFUNCTION("IMPORTRANGE(""https://docs.google.com/spreadsheets/d/13zDiYSWN14dhBU8OxlbATFo4qBXba3m2YDRZbxsxouQ/edit?gid=0#gid=0"", ""CA126"")"),797.0)</f>
        <v>797</v>
      </c>
      <c r="C74" s="30" t="s">
        <v>123</v>
      </c>
      <c r="D74" s="4">
        <v>2.0</v>
      </c>
      <c r="E74" s="22" t="s">
        <v>6</v>
      </c>
      <c r="F74" s="20" t="s">
        <v>58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6" t="s">
        <v>265</v>
      </c>
      <c r="B75" s="4">
        <f>IFERROR(__xludf.DUMMYFUNCTION("IMPORTRANGE(""https://docs.google.com/spreadsheets/d/13zDiYSWN14dhBU8OxlbATFo4qBXba3m2YDRZbxsxouQ/edit?gid=0#gid=0"", ""CA56"")"),828.0)</f>
        <v>828</v>
      </c>
      <c r="C75" s="30" t="s">
        <v>123</v>
      </c>
      <c r="D75" s="4">
        <v>1.0</v>
      </c>
      <c r="E75" s="22" t="s">
        <v>261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6" t="s">
        <v>133</v>
      </c>
      <c r="B76" s="4">
        <f>IFERROR(__xludf.DUMMYFUNCTION("IMPORTRANGE(""https://docs.google.com/spreadsheets/d/13zDiYSWN14dhBU8OxlbATFo4qBXba3m2YDRZbxsxouQ/edit?gid=0#gid=0"", ""CA60"")"),830.0)</f>
        <v>830</v>
      </c>
      <c r="C76" s="31" t="s">
        <v>134</v>
      </c>
      <c r="D76" s="4">
        <v>1.0</v>
      </c>
      <c r="E76" s="22" t="s">
        <v>21</v>
      </c>
      <c r="F76" s="9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6" t="s">
        <v>139</v>
      </c>
      <c r="B77" s="4">
        <f>IFERROR(__xludf.DUMMYFUNCTION("IMPORTRANGE(""https://docs.google.com/spreadsheets/d/13zDiYSWN14dhBU8OxlbATFo4qBXba3m2YDRZbxsxouQ/edit?gid=0#gid=0"", ""CA57"")"),898.0)</f>
        <v>898</v>
      </c>
      <c r="C77" s="30" t="s">
        <v>123</v>
      </c>
      <c r="D77" s="8">
        <v>13.0</v>
      </c>
      <c r="E77" s="9" t="s">
        <v>51</v>
      </c>
      <c r="F77" s="10" t="s">
        <v>261</v>
      </c>
      <c r="G77" s="10" t="s">
        <v>37</v>
      </c>
      <c r="H77" s="10" t="s">
        <v>70</v>
      </c>
      <c r="I77" s="10" t="s">
        <v>27</v>
      </c>
      <c r="J77" s="20" t="s">
        <v>23</v>
      </c>
      <c r="K77" s="20" t="s">
        <v>140</v>
      </c>
      <c r="L77" s="20" t="s">
        <v>13</v>
      </c>
      <c r="M77" s="20" t="s">
        <v>55</v>
      </c>
      <c r="N77" s="20" t="s">
        <v>78</v>
      </c>
      <c r="O77" s="20" t="s">
        <v>6</v>
      </c>
      <c r="P77" s="20" t="s">
        <v>30</v>
      </c>
      <c r="Q77" s="20" t="s">
        <v>97</v>
      </c>
      <c r="R77" s="11"/>
      <c r="S77" s="11"/>
      <c r="T77" s="11"/>
      <c r="U77" s="11"/>
      <c r="V77" s="11"/>
    </row>
    <row r="78">
      <c r="A78" s="6" t="s">
        <v>135</v>
      </c>
      <c r="B78" s="4">
        <f>IFERROR(__xludf.DUMMYFUNCTION("IMPORTRANGE(""https://docs.google.com/spreadsheets/d/13zDiYSWN14dhBU8OxlbATFo4qBXba3m2YDRZbxsxouQ/edit?gid=0#gid=0"", ""CA156"")"),838.0)</f>
        <v>838</v>
      </c>
      <c r="C78" s="31" t="s">
        <v>134</v>
      </c>
      <c r="D78" s="4">
        <v>1.0</v>
      </c>
      <c r="E78" s="22" t="s">
        <v>21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6" t="s">
        <v>266</v>
      </c>
      <c r="B79" s="4">
        <f>IFERROR(__xludf.DUMMYFUNCTION("IMPORTRANGE(""https://docs.google.com/spreadsheets/d/13zDiYSWN14dhBU8OxlbATFo4qBXba3m2YDRZbxsxouQ/edit?gid=0#gid=0"", ""CA58"")"),842.0)</f>
        <v>842</v>
      </c>
      <c r="C79" s="30" t="s">
        <v>123</v>
      </c>
      <c r="D79" s="4">
        <v>1.0</v>
      </c>
      <c r="E79" s="22" t="s">
        <v>261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6" t="s">
        <v>138</v>
      </c>
      <c r="B80" s="4">
        <f>IFERROR(__xludf.DUMMYFUNCTION("IMPORTRANGE(""https://docs.google.com/spreadsheets/d/13zDiYSWN14dhBU8OxlbATFo4qBXba3m2YDRZbxsxouQ/edit?gid=0#gid=0"", ""CA145"")"),856.0)</f>
        <v>856</v>
      </c>
      <c r="C80" s="31" t="s">
        <v>134</v>
      </c>
      <c r="D80" s="4">
        <v>1.0</v>
      </c>
      <c r="E80" s="22" t="s">
        <v>37</v>
      </c>
      <c r="F80" s="9"/>
      <c r="G80" s="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6" t="s">
        <v>132</v>
      </c>
      <c r="B81" s="4">
        <f>IFERROR(__xludf.DUMMYFUNCTION("IMPORTRANGE(""https://docs.google.com/spreadsheets/d/13zDiYSWN14dhBU8OxlbATFo4qBXba3m2YDRZbxsxouQ/edit?gid=0#gid=0"", ""CA59"")"),804.0)</f>
        <v>804</v>
      </c>
      <c r="C81" s="30" t="s">
        <v>123</v>
      </c>
      <c r="D81" s="4">
        <v>3.0</v>
      </c>
      <c r="E81" s="22" t="s">
        <v>27</v>
      </c>
      <c r="F81" s="20" t="s">
        <v>261</v>
      </c>
      <c r="G81" s="20" t="s">
        <v>32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6" t="s">
        <v>142</v>
      </c>
      <c r="B82" s="4">
        <f>IFERROR(__xludf.DUMMYFUNCTION("IMPORTRANGE(""https://docs.google.com/spreadsheets/d/13zDiYSWN14dhBU8OxlbATFo4qBXba3m2YDRZbxsxouQ/edit?gid=0#gid=0"", ""CA147"")"),913.0)</f>
        <v>913</v>
      </c>
      <c r="C82" s="30" t="s">
        <v>123</v>
      </c>
      <c r="D82" s="4">
        <v>1.0</v>
      </c>
      <c r="E82" s="22" t="s">
        <v>30</v>
      </c>
      <c r="F82" s="9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6" t="s">
        <v>141</v>
      </c>
      <c r="B83" s="4">
        <f>IFERROR(__xludf.DUMMYFUNCTION("IMPORTRANGE(""https://docs.google.com/spreadsheets/d/13zDiYSWN14dhBU8OxlbATFo4qBXba3m2YDRZbxsxouQ/edit?gid=0#gid=0"", ""CA61"")"),908.0)</f>
        <v>908</v>
      </c>
      <c r="C83" s="31" t="s">
        <v>134</v>
      </c>
      <c r="D83" s="4">
        <v>3.0</v>
      </c>
      <c r="E83" s="22" t="s">
        <v>37</v>
      </c>
      <c r="F83" s="20" t="s">
        <v>21</v>
      </c>
      <c r="G83" s="20" t="s">
        <v>11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6" t="s">
        <v>144</v>
      </c>
      <c r="B84" s="4">
        <f>IFERROR(__xludf.DUMMYFUNCTION("IMPORTRANGE(""https://docs.google.com/spreadsheets/d/13zDiYSWN14dhBU8OxlbATFo4qBXba3m2YDRZbxsxouQ/edit?gid=0#gid=0"", ""CA62"")"),923.0)</f>
        <v>923</v>
      </c>
      <c r="C84" s="31" t="s">
        <v>134</v>
      </c>
      <c r="D84" s="4">
        <v>2.0</v>
      </c>
      <c r="E84" s="22" t="s">
        <v>21</v>
      </c>
      <c r="F84" s="20" t="s">
        <v>26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6" t="s">
        <v>143</v>
      </c>
      <c r="B85" s="4">
        <f>IFERROR(__xludf.DUMMYFUNCTION("IMPORTRANGE(""https://docs.google.com/spreadsheets/d/13zDiYSWN14dhBU8OxlbATFo4qBXba3m2YDRZbxsxouQ/edit?gid=0#gid=0"", ""CA63"")"),916.0)</f>
        <v>916</v>
      </c>
      <c r="C85" s="31" t="s">
        <v>134</v>
      </c>
      <c r="D85" s="4">
        <v>3.0</v>
      </c>
      <c r="E85" s="22" t="s">
        <v>27</v>
      </c>
      <c r="F85" s="20" t="s">
        <v>26</v>
      </c>
      <c r="G85" s="20" t="s">
        <v>6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6" t="s">
        <v>145</v>
      </c>
      <c r="B86" s="4">
        <f>IFERROR(__xludf.DUMMYFUNCTION("IMPORTRANGE(""https://docs.google.com/spreadsheets/d/13zDiYSWN14dhBU8OxlbATFo4qBXba3m2YDRZbxsxouQ/edit?gid=0#gid=0"", ""CA64"")"),924.0)</f>
        <v>924</v>
      </c>
      <c r="C86" s="31" t="s">
        <v>134</v>
      </c>
      <c r="D86" s="4">
        <v>3.0</v>
      </c>
      <c r="E86" s="22" t="s">
        <v>27</v>
      </c>
      <c r="F86" s="20" t="s">
        <v>21</v>
      </c>
      <c r="G86" s="20" t="s">
        <v>60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6" t="s">
        <v>147</v>
      </c>
      <c r="B87" s="4">
        <f>IFERROR(__xludf.DUMMYFUNCTION("IMPORTRANGE(""https://docs.google.com/spreadsheets/d/13zDiYSWN14dhBU8OxlbATFo4qBXba3m2YDRZbxsxouQ/edit?gid=0#gid=0"", ""CA137"")"),995.0)</f>
        <v>995</v>
      </c>
      <c r="C87" s="32" t="s">
        <v>148</v>
      </c>
      <c r="D87" s="4">
        <v>1.0</v>
      </c>
      <c r="E87" s="22" t="s">
        <v>37</v>
      </c>
      <c r="F87" s="9"/>
      <c r="G87" s="9"/>
      <c r="H87" s="9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6" t="s">
        <v>149</v>
      </c>
      <c r="B88" s="4">
        <f>IFERROR(__xludf.DUMMYFUNCTION("IMPORTRANGE(""https://docs.google.com/spreadsheets/d/13zDiYSWN14dhBU8OxlbATFo4qBXba3m2YDRZbxsxouQ/edit?gid=0#gid=0"", ""CA66"")"),968.0)</f>
        <v>968</v>
      </c>
      <c r="C88" s="31" t="s">
        <v>134</v>
      </c>
      <c r="D88" s="8">
        <v>4.0</v>
      </c>
      <c r="E88" s="9" t="s">
        <v>23</v>
      </c>
      <c r="F88" s="10" t="s">
        <v>150</v>
      </c>
      <c r="G88" s="10" t="s">
        <v>116</v>
      </c>
      <c r="H88" s="20" t="s">
        <v>27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6" t="s">
        <v>153</v>
      </c>
      <c r="B89" s="4">
        <f>IFERROR(__xludf.DUMMYFUNCTION("IMPORTRANGE(""https://docs.google.com/spreadsheets/d/13zDiYSWN14dhBU8OxlbATFo4qBXba3m2YDRZbxsxouQ/edit?gid=0#gid=0"", ""CA65"")"),973.0)</f>
        <v>973</v>
      </c>
      <c r="C89" s="31" t="s">
        <v>134</v>
      </c>
      <c r="D89" s="4">
        <v>5.0</v>
      </c>
      <c r="E89" s="22" t="s">
        <v>11</v>
      </c>
      <c r="F89" s="20" t="s">
        <v>70</v>
      </c>
      <c r="G89" s="20" t="s">
        <v>26</v>
      </c>
      <c r="H89" s="20" t="s">
        <v>6</v>
      </c>
      <c r="I89" s="20" t="s">
        <v>58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6" t="s">
        <v>156</v>
      </c>
      <c r="B90" s="4">
        <f>IFERROR(__xludf.DUMMYFUNCTION("IMPORTRANGE(""https://docs.google.com/spreadsheets/d/13zDiYSWN14dhBU8OxlbATFo4qBXba3m2YDRZbxsxouQ/edit?gid=0#gid=0"", ""CA159"")"),1021.0)</f>
        <v>1021</v>
      </c>
      <c r="C90" s="31" t="s">
        <v>134</v>
      </c>
      <c r="D90" s="4">
        <v>1.0</v>
      </c>
      <c r="E90" s="22" t="s">
        <v>6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6" t="s">
        <v>157</v>
      </c>
      <c r="B91" s="4">
        <f>IFERROR(__xludf.DUMMYFUNCTION("IMPORTRANGE(""https://docs.google.com/spreadsheets/d/13zDiYSWN14dhBU8OxlbATFo4qBXba3m2YDRZbxsxouQ/edit?gid=0#gid=0"", ""CA134"")"),1029.0)</f>
        <v>1029</v>
      </c>
      <c r="C91" s="32" t="s">
        <v>148</v>
      </c>
      <c r="D91" s="4">
        <v>1.0</v>
      </c>
      <c r="E91" s="22" t="s">
        <v>6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6" t="s">
        <v>158</v>
      </c>
      <c r="B92" s="4">
        <f>IFERROR(__xludf.DUMMYFUNCTION("IMPORTRANGE(""https://docs.google.com/spreadsheets/d/13zDiYSWN14dhBU8OxlbATFo4qBXba3m2YDRZbxsxouQ/edit?gid=0#gid=0"", ""CA67"")"),1035.0)</f>
        <v>1035</v>
      </c>
      <c r="C92" s="32" t="s">
        <v>148</v>
      </c>
      <c r="D92" s="4">
        <v>1.0</v>
      </c>
      <c r="E92" s="22" t="s">
        <v>37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6" t="s">
        <v>190</v>
      </c>
      <c r="B93" s="4">
        <f>IFERROR(__xludf.DUMMYFUNCTION("IMPORTRANGE(""https://docs.google.com/spreadsheets/d/13zDiYSWN14dhBU8OxlbATFo4qBXba3m2YDRZbxsxouQ/edit?gid=0#gid=0"", ""CA158"")"),1193.0)</f>
        <v>1193</v>
      </c>
      <c r="C93" s="32" t="s">
        <v>148</v>
      </c>
      <c r="D93" s="4">
        <v>1.0</v>
      </c>
      <c r="E93" s="5" t="s">
        <v>11</v>
      </c>
    </row>
    <row r="94">
      <c r="A94" s="6" t="s">
        <v>160</v>
      </c>
      <c r="B94" s="4">
        <f>IFERROR(__xludf.DUMMYFUNCTION("IMPORTRANGE(""https://docs.google.com/spreadsheets/d/13zDiYSWN14dhBU8OxlbATFo4qBXba3m2YDRZbxsxouQ/edit?gid=0#gid=0"", ""CA73"")"),1053.0)</f>
        <v>1053</v>
      </c>
      <c r="C94" s="32" t="s">
        <v>148</v>
      </c>
      <c r="D94" s="4">
        <v>1.0</v>
      </c>
      <c r="E94" s="5" t="s">
        <v>37</v>
      </c>
    </row>
    <row r="95">
      <c r="A95" s="6" t="s">
        <v>161</v>
      </c>
      <c r="B95" s="4">
        <f>IFERROR(__xludf.DUMMYFUNCTION("IMPORTRANGE(""https://docs.google.com/spreadsheets/d/13zDiYSWN14dhBU8OxlbATFo4qBXba3m2YDRZbxsxouQ/edit?gid=0#gid=0"", ""CA68"")"),1054.0)</f>
        <v>1054</v>
      </c>
      <c r="C95" s="32" t="s">
        <v>148</v>
      </c>
      <c r="D95" s="4">
        <v>3.0</v>
      </c>
      <c r="E95" s="22" t="s">
        <v>261</v>
      </c>
      <c r="F95" s="20" t="s">
        <v>27</v>
      </c>
      <c r="G95" s="20" t="s">
        <v>37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6" t="s">
        <v>162</v>
      </c>
      <c r="B96" s="4">
        <f>IFERROR(__xludf.DUMMYFUNCTION("IMPORTRANGE(""https://docs.google.com/spreadsheets/d/13zDiYSWN14dhBU8OxlbATFo4qBXba3m2YDRZbxsxouQ/edit?gid=0#gid=0"", ""CA125"")"),1066.0)</f>
        <v>1066</v>
      </c>
      <c r="C96" s="32" t="s">
        <v>148</v>
      </c>
      <c r="D96" s="8">
        <v>1.0</v>
      </c>
      <c r="E96" s="9" t="s">
        <v>6</v>
      </c>
      <c r="F96" s="10"/>
      <c r="G96" s="10"/>
      <c r="H96" s="10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6" t="s">
        <v>163</v>
      </c>
      <c r="B97" s="4">
        <f>IFERROR(__xludf.DUMMYFUNCTION("IMPORTRANGE(""https://docs.google.com/spreadsheets/d/13zDiYSWN14dhBU8OxlbATFo4qBXba3m2YDRZbxsxouQ/edit?gid=0#gid=0"", ""CA160"")"),1071.0)</f>
        <v>1071</v>
      </c>
      <c r="C97" s="32" t="s">
        <v>148</v>
      </c>
      <c r="D97" s="8">
        <v>1.0</v>
      </c>
      <c r="E97" s="9" t="s">
        <v>32</v>
      </c>
      <c r="F97" s="10"/>
      <c r="G97" s="10"/>
      <c r="H97" s="10"/>
      <c r="I97" s="9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6" t="s">
        <v>165</v>
      </c>
      <c r="B98" s="4">
        <f>IFERROR(__xludf.DUMMYFUNCTION("IMPORTRANGE(""https://docs.google.com/spreadsheets/d/13zDiYSWN14dhBU8OxlbATFo4qBXba3m2YDRZbxsxouQ/edit?gid=0#gid=0"", ""CA69"")"),1092.0)</f>
        <v>1092</v>
      </c>
      <c r="C98" s="32" t="s">
        <v>148</v>
      </c>
      <c r="D98" s="8">
        <v>5.0</v>
      </c>
      <c r="E98" s="9" t="s">
        <v>62</v>
      </c>
      <c r="F98" s="10" t="s">
        <v>23</v>
      </c>
      <c r="G98" s="10" t="s">
        <v>51</v>
      </c>
      <c r="H98" s="10" t="s">
        <v>70</v>
      </c>
      <c r="I98" s="20" t="s">
        <v>6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6" t="s">
        <v>166</v>
      </c>
      <c r="B99" s="4">
        <f>IFERROR(__xludf.DUMMYFUNCTION("IMPORTRANGE(""https://docs.google.com/spreadsheets/d/13zDiYSWN14dhBU8OxlbATFo4qBXba3m2YDRZbxsxouQ/edit?gid=0#gid=0"", ""CA70"")"),1113.0)</f>
        <v>1113</v>
      </c>
      <c r="C99" s="32" t="s">
        <v>148</v>
      </c>
      <c r="D99" s="4">
        <v>2.0</v>
      </c>
      <c r="E99" s="22" t="s">
        <v>60</v>
      </c>
      <c r="F99" s="20" t="s">
        <v>21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6" t="s">
        <v>168</v>
      </c>
      <c r="B100" s="4">
        <f>IFERROR(__xludf.DUMMYFUNCTION("IMPORTRANGE(""https://docs.google.com/spreadsheets/d/13zDiYSWN14dhBU8OxlbATFo4qBXba3m2YDRZbxsxouQ/edit?gid=0#gid=0"", ""CA130"")"),1122.0)</f>
        <v>1122</v>
      </c>
      <c r="C100" s="33" t="s">
        <v>169</v>
      </c>
      <c r="D100" s="4">
        <v>2.0</v>
      </c>
      <c r="E100" s="22" t="s">
        <v>6</v>
      </c>
      <c r="F100" s="20" t="s">
        <v>32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6" t="s">
        <v>170</v>
      </c>
      <c r="B101" s="4">
        <f>IFERROR(__xludf.DUMMYFUNCTION("IMPORTRANGE(""https://docs.google.com/spreadsheets/d/13zDiYSWN14dhBU8OxlbATFo4qBXba3m2YDRZbxsxouQ/edit?gid=0#gid=0"", ""CA71"")"),1124.0)</f>
        <v>1124</v>
      </c>
      <c r="C101" s="32" t="s">
        <v>148</v>
      </c>
      <c r="D101" s="4">
        <v>1.0</v>
      </c>
      <c r="E101" s="22" t="s">
        <v>51</v>
      </c>
      <c r="F101" s="9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6" t="s">
        <v>171</v>
      </c>
      <c r="B102" s="4">
        <f>IFERROR(__xludf.DUMMYFUNCTION("IMPORTRANGE(""https://docs.google.com/spreadsheets/d/13zDiYSWN14dhBU8OxlbATFo4qBXba3m2YDRZbxsxouQ/edit?gid=0#gid=0"", ""CA72"")"),1127.0)</f>
        <v>1127</v>
      </c>
      <c r="C102" s="32" t="s">
        <v>148</v>
      </c>
      <c r="D102" s="4">
        <v>3.0</v>
      </c>
      <c r="E102" s="22" t="s">
        <v>60</v>
      </c>
      <c r="F102" s="20" t="s">
        <v>37</v>
      </c>
      <c r="G102" s="20" t="s">
        <v>38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6" t="s">
        <v>172</v>
      </c>
      <c r="B103" s="4">
        <f>IFERROR(__xludf.DUMMYFUNCTION("IMPORTRANGE(""https://docs.google.com/spreadsheets/d/13zDiYSWN14dhBU8OxlbATFo4qBXba3m2YDRZbxsxouQ/edit?gid=0#gid=0"", ""CA74"")"),1131.0)</f>
        <v>1131</v>
      </c>
      <c r="C103" s="32" t="s">
        <v>148</v>
      </c>
      <c r="D103" s="4">
        <v>2.0</v>
      </c>
      <c r="E103" s="22" t="s">
        <v>173</v>
      </c>
      <c r="F103" s="20" t="s">
        <v>37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6" t="s">
        <v>175</v>
      </c>
      <c r="B104" s="4"/>
      <c r="C104" s="32" t="s">
        <v>148</v>
      </c>
      <c r="D104" s="4">
        <v>1.0</v>
      </c>
      <c r="E104" s="22" t="s">
        <v>13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6" t="s">
        <v>176</v>
      </c>
      <c r="B105" s="4">
        <f>IFERROR(__xludf.DUMMYFUNCTION("IMPORTRANGE(""https://docs.google.com/spreadsheets/d/13zDiYSWN14dhBU8OxlbATFo4qBXba3m2YDRZbxsxouQ/edit?gid=0#gid=0"", ""CA122"")"),1135.0)</f>
        <v>1135</v>
      </c>
      <c r="C105" s="32" t="s">
        <v>148</v>
      </c>
      <c r="D105" s="4">
        <v>1.0</v>
      </c>
      <c r="E105" s="22" t="s">
        <v>6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6" t="s">
        <v>177</v>
      </c>
      <c r="B106" s="4">
        <f>IFERROR(__xludf.DUMMYFUNCTION("IMPORTRANGE(""https://docs.google.com/spreadsheets/d/13zDiYSWN14dhBU8OxlbATFo4qBXba3m2YDRZbxsxouQ/edit?gid=0#gid=0"", ""CA75"")"),1136.0)</f>
        <v>1136</v>
      </c>
      <c r="C106" s="32" t="s">
        <v>148</v>
      </c>
      <c r="D106" s="4">
        <v>1.0</v>
      </c>
      <c r="E106" s="22" t="s">
        <v>13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6" t="s">
        <v>178</v>
      </c>
      <c r="B107" s="4">
        <f>IFERROR(__xludf.DUMMYFUNCTION("IMPORTRANGE(""https://docs.google.com/spreadsheets/d/13zDiYSWN14dhBU8OxlbATFo4qBXba3m2YDRZbxsxouQ/edit?gid=0#gid=0"", ""CA76"")"),1141.0)</f>
        <v>1141</v>
      </c>
      <c r="C107" s="32" t="s">
        <v>148</v>
      </c>
      <c r="D107" s="4">
        <v>2.0</v>
      </c>
      <c r="E107" s="22" t="s">
        <v>26</v>
      </c>
      <c r="F107" s="20" t="s">
        <v>64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6" t="s">
        <v>179</v>
      </c>
      <c r="B108" s="4">
        <f>IFERROR(__xludf.DUMMYFUNCTION("IMPORTRANGE(""https://docs.google.com/spreadsheets/d/13zDiYSWN14dhBU8OxlbATFo4qBXba3m2YDRZbxsxouQ/edit?gid=0#gid=0"", ""CA77"")"),1142.0)</f>
        <v>1142</v>
      </c>
      <c r="C108" s="32" t="s">
        <v>148</v>
      </c>
      <c r="D108" s="4">
        <v>3.0</v>
      </c>
      <c r="E108" s="22" t="s">
        <v>70</v>
      </c>
      <c r="F108" s="20" t="s">
        <v>51</v>
      </c>
      <c r="G108" s="20" t="s">
        <v>55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6" t="s">
        <v>180</v>
      </c>
      <c r="B109" s="4">
        <f>IFERROR(__xludf.DUMMYFUNCTION("IMPORTRANGE(""https://docs.google.com/spreadsheets/d/13zDiYSWN14dhBU8OxlbATFo4qBXba3m2YDRZbxsxouQ/edit?gid=0#gid=0"", ""CA121"")"),1147.0)</f>
        <v>1147</v>
      </c>
      <c r="C109" s="33" t="s">
        <v>169</v>
      </c>
      <c r="D109" s="4">
        <v>2.0</v>
      </c>
      <c r="E109" s="22" t="s">
        <v>26</v>
      </c>
      <c r="F109" s="20" t="s">
        <v>6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6" t="s">
        <v>167</v>
      </c>
      <c r="B110" s="4">
        <f>IFERROR(__xludf.DUMMYFUNCTION("IMPORTRANGE(""https://docs.google.com/spreadsheets/d/13zDiYSWN14dhBU8OxlbATFo4qBXba3m2YDRZbxsxouQ/edit?gid=0#gid=0"", ""CA78"")"),1118.0)</f>
        <v>1118</v>
      </c>
      <c r="C110" s="32" t="s">
        <v>148</v>
      </c>
      <c r="D110" s="4">
        <v>1.0</v>
      </c>
      <c r="E110" s="22" t="s">
        <v>70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6" t="s">
        <v>181</v>
      </c>
      <c r="B111" s="4">
        <f>IFERROR(__xludf.DUMMYFUNCTION("IMPORTRANGE(""https://docs.google.com/spreadsheets/d/13zDiYSWN14dhBU8OxlbATFo4qBXba3m2YDRZbxsxouQ/edit?gid=0#gid=0"", ""CA79"")"),1156.0)</f>
        <v>1156</v>
      </c>
      <c r="C111" s="32" t="s">
        <v>148</v>
      </c>
      <c r="D111" s="4">
        <v>1.0</v>
      </c>
      <c r="E111" s="22" t="s">
        <v>21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6" t="s">
        <v>182</v>
      </c>
      <c r="B112" s="4">
        <f>IFERROR(__xludf.DUMMYFUNCTION("IMPORTRANGE(""https://docs.google.com/spreadsheets/d/13zDiYSWN14dhBU8OxlbATFo4qBXba3m2YDRZbxsxouQ/edit?gid=0#gid=0"", ""CA80"")"),1158.0)</f>
        <v>1158</v>
      </c>
      <c r="C112" s="32" t="s">
        <v>148</v>
      </c>
      <c r="D112" s="4">
        <v>4.0</v>
      </c>
      <c r="E112" s="22" t="s">
        <v>261</v>
      </c>
      <c r="F112" s="20" t="s">
        <v>70</v>
      </c>
      <c r="G112" s="20" t="s">
        <v>6</v>
      </c>
      <c r="H112" s="20" t="s">
        <v>64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6" t="s">
        <v>183</v>
      </c>
      <c r="B113" s="4">
        <f>IFERROR(__xludf.DUMMYFUNCTION("IMPORTRANGE(""https://docs.google.com/spreadsheets/d/13zDiYSWN14dhBU8OxlbATFo4qBXba3m2YDRZbxsxouQ/edit?gid=0#gid=0"", ""CA81"")"),1167.0)</f>
        <v>1167</v>
      </c>
      <c r="C113" s="33" t="s">
        <v>169</v>
      </c>
      <c r="D113" s="4">
        <v>1.0</v>
      </c>
      <c r="E113" s="22" t="s">
        <v>70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6" t="s">
        <v>184</v>
      </c>
      <c r="B114" s="4">
        <f>IFERROR(__xludf.DUMMYFUNCTION("IMPORTRANGE(""https://docs.google.com/spreadsheets/d/13zDiYSWN14dhBU8OxlbATFo4qBXba3m2YDRZbxsxouQ/edit?gid=0#gid=0"", ""CA82"")"),1169.0)</f>
        <v>1169</v>
      </c>
      <c r="C114" s="33" t="s">
        <v>169</v>
      </c>
      <c r="D114" s="4">
        <v>1.0</v>
      </c>
      <c r="E114" s="22" t="s">
        <v>27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6" t="s">
        <v>185</v>
      </c>
      <c r="B115" s="4">
        <f>IFERROR(__xludf.DUMMYFUNCTION("IMPORTRANGE(""https://docs.google.com/spreadsheets/d/13zDiYSWN14dhBU8OxlbATFo4qBXba3m2YDRZbxsxouQ/edit?gid=0#gid=0"", ""CA155"")"),1174.0)</f>
        <v>1174</v>
      </c>
      <c r="C115" s="32" t="s">
        <v>148</v>
      </c>
      <c r="D115" s="4">
        <v>1.0</v>
      </c>
      <c r="E115" s="22" t="s">
        <v>21</v>
      </c>
      <c r="F115" s="9"/>
      <c r="G115" s="9"/>
      <c r="H115" s="9"/>
      <c r="I115" s="9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6" t="s">
        <v>186</v>
      </c>
      <c r="B116" s="4">
        <f>IFERROR(__xludf.DUMMYFUNCTION("IMPORTRANGE(""https://docs.google.com/spreadsheets/d/13zDiYSWN14dhBU8OxlbATFo4qBXba3m2YDRZbxsxouQ/edit?gid=0#gid=0"", ""CA83"")"),1184.0)</f>
        <v>1184</v>
      </c>
      <c r="C116" s="33" t="s">
        <v>169</v>
      </c>
      <c r="D116" s="4">
        <v>5.0</v>
      </c>
      <c r="E116" s="22" t="s">
        <v>37</v>
      </c>
      <c r="F116" s="20" t="s">
        <v>261</v>
      </c>
      <c r="G116" s="20" t="s">
        <v>51</v>
      </c>
      <c r="H116" s="20" t="s">
        <v>78</v>
      </c>
      <c r="I116" s="20" t="s">
        <v>6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6" t="s">
        <v>187</v>
      </c>
      <c r="B117" s="4">
        <f>IFERROR(__xludf.DUMMYFUNCTION("IMPORTRANGE(""https://docs.google.com/spreadsheets/d/13zDiYSWN14dhBU8OxlbATFo4qBXba3m2YDRZbxsxouQ/edit?gid=0#gid=0"", ""CA136"")"),1185.0)</f>
        <v>1185</v>
      </c>
      <c r="C117" s="32" t="s">
        <v>148</v>
      </c>
      <c r="D117" s="8">
        <v>2.0</v>
      </c>
      <c r="E117" s="5" t="s">
        <v>188</v>
      </c>
      <c r="F117" s="20" t="s">
        <v>26</v>
      </c>
      <c r="G117" s="10"/>
      <c r="H117" s="10"/>
      <c r="I117" s="10"/>
      <c r="J117" s="9"/>
      <c r="K117" s="26"/>
      <c r="L117" s="9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6" t="s">
        <v>189</v>
      </c>
      <c r="B118" s="4">
        <f>IFERROR(__xludf.DUMMYFUNCTION("IMPORTRANGE(""https://docs.google.com/spreadsheets/d/13zDiYSWN14dhBU8OxlbATFo4qBXba3m2YDRZbxsxouQ/edit?gid=0#gid=0"", ""CA84"")"),1187.0)</f>
        <v>1187</v>
      </c>
      <c r="C118" s="32" t="s">
        <v>148</v>
      </c>
      <c r="D118" s="8">
        <v>9.0</v>
      </c>
      <c r="E118" s="9" t="s">
        <v>116</v>
      </c>
      <c r="F118" s="20" t="s">
        <v>37</v>
      </c>
      <c r="G118" s="10" t="s">
        <v>13</v>
      </c>
      <c r="H118" s="10" t="s">
        <v>261</v>
      </c>
      <c r="I118" s="10" t="s">
        <v>27</v>
      </c>
      <c r="J118" s="20" t="s">
        <v>55</v>
      </c>
      <c r="K118" s="6" t="s">
        <v>6</v>
      </c>
      <c r="L118" s="20" t="s">
        <v>125</v>
      </c>
      <c r="M118" s="20" t="s">
        <v>114</v>
      </c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6" t="s">
        <v>191</v>
      </c>
      <c r="B119" s="4">
        <f>IFERROR(__xludf.DUMMYFUNCTION("IMPORTRANGE(""https://docs.google.com/spreadsheets/d/13zDiYSWN14dhBU8OxlbATFo4qBXba3m2YDRZbxsxouQ/edit?gid=0#gid=0"", ""CA164"")"),1203.0)</f>
        <v>1203</v>
      </c>
      <c r="C119" s="33" t="s">
        <v>169</v>
      </c>
      <c r="D119" s="8">
        <v>1.0</v>
      </c>
      <c r="E119" s="29" t="s">
        <v>114</v>
      </c>
      <c r="F119" s="10"/>
      <c r="G119" s="9"/>
      <c r="H119" s="9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6" t="s">
        <v>192</v>
      </c>
      <c r="B120" s="4">
        <f>IFERROR(__xludf.DUMMYFUNCTION("IMPORTRANGE(""https://docs.google.com/spreadsheets/d/13zDiYSWN14dhBU8OxlbATFo4qBXba3m2YDRZbxsxouQ/edit?gid=0#gid=0"", ""CA115"")"),1204.0)</f>
        <v>1204</v>
      </c>
      <c r="C120" s="33" t="s">
        <v>169</v>
      </c>
      <c r="D120" s="8">
        <v>1.0</v>
      </c>
      <c r="E120" s="29" t="s">
        <v>32</v>
      </c>
      <c r="F120" s="10"/>
      <c r="G120" s="9"/>
      <c r="H120" s="9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6" t="s">
        <v>193</v>
      </c>
      <c r="B121" s="4">
        <f>IFERROR(__xludf.DUMMYFUNCTION("IMPORTRANGE(""https://docs.google.com/spreadsheets/d/13zDiYSWN14dhBU8OxlbATFo4qBXba3m2YDRZbxsxouQ/edit?gid=0#gid=0"", ""CA150"")"),1207.0)</f>
        <v>1207</v>
      </c>
      <c r="C121" s="33" t="s">
        <v>169</v>
      </c>
      <c r="D121" s="8">
        <v>1.0</v>
      </c>
      <c r="E121" s="29" t="s">
        <v>26</v>
      </c>
      <c r="F121" s="10"/>
      <c r="G121" s="9"/>
      <c r="H121" s="9"/>
      <c r="I121" s="9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6" t="s">
        <v>194</v>
      </c>
      <c r="B122" s="4">
        <f>IFERROR(__xludf.DUMMYFUNCTION("IMPORTRANGE(""https://docs.google.com/spreadsheets/d/13zDiYSWN14dhBU8OxlbATFo4qBXba3m2YDRZbxsxouQ/edit?gid=0#gid=0"", ""CA85"")"),1213.0)</f>
        <v>1213</v>
      </c>
      <c r="C122" s="33" t="s">
        <v>169</v>
      </c>
      <c r="D122" s="8">
        <v>6.0</v>
      </c>
      <c r="E122" s="29" t="s">
        <v>27</v>
      </c>
      <c r="F122" s="10" t="s">
        <v>15</v>
      </c>
      <c r="G122" s="20" t="s">
        <v>26</v>
      </c>
      <c r="H122" s="20" t="s">
        <v>70</v>
      </c>
      <c r="I122" s="20" t="s">
        <v>6</v>
      </c>
      <c r="J122" s="20" t="s">
        <v>11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6" t="s">
        <v>196</v>
      </c>
      <c r="B123" s="4">
        <f>IFERROR(__xludf.DUMMYFUNCTION("IMPORTRANGE(""https://docs.google.com/spreadsheets/d/13zDiYSWN14dhBU8OxlbATFo4qBXba3m2YDRZbxsxouQ/edit?gid=0#gid=0"", ""CA167"")"),1221.0)</f>
        <v>1221</v>
      </c>
      <c r="C123" s="33" t="s">
        <v>169</v>
      </c>
      <c r="D123" s="8">
        <v>1.0</v>
      </c>
      <c r="E123" s="34" t="s">
        <v>32</v>
      </c>
      <c r="F123" s="10"/>
      <c r="G123" s="10"/>
      <c r="H123" s="9"/>
      <c r="I123" s="26"/>
      <c r="J123" s="9"/>
      <c r="K123" s="9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6" t="s">
        <v>174</v>
      </c>
      <c r="B124" s="4">
        <f>IFERROR(__xludf.DUMMYFUNCTION("IMPORTRANGE(""https://docs.google.com/spreadsheets/d/13zDiYSWN14dhBU8OxlbATFo4qBXba3m2YDRZbxsxouQ/edit?gid=0#gid=0"", ""CA116"")"),1132.0)</f>
        <v>1132</v>
      </c>
      <c r="C124" s="32" t="s">
        <v>148</v>
      </c>
      <c r="D124" s="8">
        <v>1.0</v>
      </c>
      <c r="E124" s="34" t="s">
        <v>32</v>
      </c>
      <c r="F124" s="10"/>
      <c r="G124" s="10"/>
      <c r="H124" s="9"/>
      <c r="I124" s="26"/>
      <c r="J124" s="9"/>
      <c r="K124" s="9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6" t="s">
        <v>195</v>
      </c>
      <c r="B125" s="4"/>
      <c r="C125" s="33" t="s">
        <v>169</v>
      </c>
      <c r="D125" s="8">
        <v>1.0</v>
      </c>
      <c r="E125" s="34" t="s">
        <v>27</v>
      </c>
      <c r="F125" s="10"/>
      <c r="G125" s="10"/>
      <c r="H125" s="9"/>
      <c r="I125" s="26"/>
      <c r="J125" s="9"/>
      <c r="K125" s="26"/>
      <c r="L125" s="9"/>
      <c r="M125" s="9"/>
      <c r="N125" s="9"/>
      <c r="O125" s="26"/>
      <c r="P125" s="9"/>
      <c r="Q125" s="9"/>
      <c r="R125" s="11"/>
      <c r="S125" s="11"/>
      <c r="T125" s="11"/>
      <c r="U125" s="11"/>
      <c r="V125" s="11"/>
    </row>
    <row r="126">
      <c r="A126" s="6" t="s">
        <v>197</v>
      </c>
      <c r="B126" s="4">
        <f>IFERROR(__xludf.DUMMYFUNCTION("IMPORTRANGE(""https://docs.google.com/spreadsheets/d/13zDiYSWN14dhBU8OxlbATFo4qBXba3m2YDRZbxsxouQ/edit?gid=0#gid=0"", ""CA86"")"),1223.0)</f>
        <v>1223</v>
      </c>
      <c r="C126" s="33" t="s">
        <v>169</v>
      </c>
      <c r="D126" s="8">
        <v>13.0</v>
      </c>
      <c r="E126" s="34" t="s">
        <v>23</v>
      </c>
      <c r="F126" s="10" t="s">
        <v>261</v>
      </c>
      <c r="G126" s="10" t="s">
        <v>13</v>
      </c>
      <c r="H126" s="20" t="s">
        <v>37</v>
      </c>
      <c r="I126" s="6" t="s">
        <v>27</v>
      </c>
      <c r="J126" s="20" t="s">
        <v>70</v>
      </c>
      <c r="K126" s="6" t="s">
        <v>101</v>
      </c>
      <c r="L126" s="20" t="s">
        <v>51</v>
      </c>
      <c r="M126" s="20" t="s">
        <v>6</v>
      </c>
      <c r="N126" s="20" t="s">
        <v>30</v>
      </c>
      <c r="O126" s="6" t="s">
        <v>64</v>
      </c>
      <c r="P126" s="20" t="s">
        <v>26</v>
      </c>
      <c r="Q126" s="20" t="s">
        <v>38</v>
      </c>
      <c r="R126" s="11"/>
      <c r="S126" s="11"/>
      <c r="T126" s="11"/>
      <c r="U126" s="11"/>
      <c r="V126" s="11"/>
    </row>
    <row r="127">
      <c r="A127" s="6" t="s">
        <v>199</v>
      </c>
      <c r="B127" s="4">
        <f>IFERROR(__xludf.DUMMYFUNCTION("IMPORTRANGE(""https://docs.google.com/spreadsheets/d/13zDiYSWN14dhBU8OxlbATFo4qBXba3m2YDRZbxsxouQ/edit?gid=0#gid=0"", ""CA87"")"),1236.0)</f>
        <v>1236</v>
      </c>
      <c r="C127" s="33" t="s">
        <v>169</v>
      </c>
      <c r="D127" s="8">
        <v>8.0</v>
      </c>
      <c r="E127" s="5" t="s">
        <v>34</v>
      </c>
      <c r="F127" s="18" t="s">
        <v>51</v>
      </c>
      <c r="G127" s="10" t="s">
        <v>13</v>
      </c>
      <c r="H127" s="10" t="s">
        <v>37</v>
      </c>
      <c r="I127" s="10" t="s">
        <v>116</v>
      </c>
      <c r="J127" s="6" t="s">
        <v>222</v>
      </c>
      <c r="K127" s="20" t="s">
        <v>78</v>
      </c>
      <c r="L127" s="20" t="s">
        <v>6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6" t="s">
        <v>200</v>
      </c>
      <c r="B128" s="4">
        <f>IFERROR(__xludf.DUMMYFUNCTION("IMPORTRANGE(""https://docs.google.com/spreadsheets/d/13zDiYSWN14dhBU8OxlbATFo4qBXba3m2YDRZbxsxouQ/edit?gid=0#gid=0"", ""CA88"")"),1239.0)</f>
        <v>1239</v>
      </c>
      <c r="C128" s="33" t="s">
        <v>169</v>
      </c>
      <c r="D128" s="4">
        <v>1.0</v>
      </c>
      <c r="E128" s="22" t="s">
        <v>34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6" t="s">
        <v>201</v>
      </c>
      <c r="B129" s="4">
        <f>IFERROR(__xludf.DUMMYFUNCTION("IMPORTRANGE(""https://docs.google.com/spreadsheets/d/13zDiYSWN14dhBU8OxlbATFo4qBXba3m2YDRZbxsxouQ/edit?gid=0#gid=0"", ""CA132"")"),1240.0)</f>
        <v>1240</v>
      </c>
      <c r="C129" s="33" t="s">
        <v>169</v>
      </c>
      <c r="D129" s="4">
        <v>1.0</v>
      </c>
      <c r="E129" s="22" t="s">
        <v>6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ht="15.75" customHeight="1">
      <c r="A130" s="6" t="s">
        <v>202</v>
      </c>
      <c r="B130" s="4">
        <f>IFERROR(__xludf.DUMMYFUNCTION("IMPORTRANGE(""https://docs.google.com/spreadsheets/d/13zDiYSWN14dhBU8OxlbATFo4qBXba3m2YDRZbxsxouQ/edit?gid=0#gid=0"", ""CA109"")"),1263.0)</f>
        <v>1263</v>
      </c>
      <c r="C130" s="33" t="s">
        <v>169</v>
      </c>
      <c r="D130" s="4">
        <v>1.0</v>
      </c>
      <c r="E130" s="22" t="s">
        <v>34</v>
      </c>
      <c r="F130" s="11"/>
      <c r="G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6" t="s">
        <v>203</v>
      </c>
      <c r="B131" s="4">
        <f>IFERROR(__xludf.DUMMYFUNCTION("IMPORTRANGE(""https://docs.google.com/spreadsheets/d/13zDiYSWN14dhBU8OxlbATFo4qBXba3m2YDRZbxsxouQ/edit?gid=0#gid=0"", ""CA94"")"),1265.0)</f>
        <v>1265</v>
      </c>
      <c r="C131" s="33" t="s">
        <v>169</v>
      </c>
      <c r="D131" s="4">
        <v>2.0</v>
      </c>
      <c r="E131" s="5" t="s">
        <v>34</v>
      </c>
      <c r="F131" s="6" t="s">
        <v>26</v>
      </c>
    </row>
    <row r="132">
      <c r="A132" s="6" t="s">
        <v>204</v>
      </c>
      <c r="B132" s="4">
        <f>IFERROR(__xludf.DUMMYFUNCTION("IMPORTRANGE(""https://docs.google.com/spreadsheets/d/13zDiYSWN14dhBU8OxlbATFo4qBXba3m2YDRZbxsxouQ/edit?gid=0#gid=0"", ""CA89"")"),1266.0)</f>
        <v>1266</v>
      </c>
      <c r="C132" s="33" t="s">
        <v>169</v>
      </c>
      <c r="D132" s="4">
        <v>1.0</v>
      </c>
      <c r="E132" s="22" t="s">
        <v>37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6" t="s">
        <v>205</v>
      </c>
      <c r="B133" s="4">
        <f>IFERROR(__xludf.DUMMYFUNCTION("IMPORTRANGE(""https://docs.google.com/spreadsheets/d/13zDiYSWN14dhBU8OxlbATFo4qBXba3m2YDRZbxsxouQ/edit?gid=0#gid=0"", ""CA90"")"),1269.0)</f>
        <v>1269</v>
      </c>
      <c r="C133" s="33" t="s">
        <v>169</v>
      </c>
      <c r="D133" s="4">
        <v>3.0</v>
      </c>
      <c r="E133" s="22" t="s">
        <v>261</v>
      </c>
      <c r="F133" s="20" t="s">
        <v>51</v>
      </c>
      <c r="G133" s="20" t="s">
        <v>6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6" t="s">
        <v>206</v>
      </c>
      <c r="B134" s="4">
        <f>IFERROR(__xludf.DUMMYFUNCTION("IMPORTRANGE(""https://docs.google.com/spreadsheets/d/13zDiYSWN14dhBU8OxlbATFo4qBXba3m2YDRZbxsxouQ/edit?gid=0#gid=0"", ""CA91"")"),1275.0)</f>
        <v>1275</v>
      </c>
      <c r="C134" s="33" t="s">
        <v>169</v>
      </c>
      <c r="D134" s="4">
        <v>3.0</v>
      </c>
      <c r="E134" s="22" t="s">
        <v>37</v>
      </c>
      <c r="F134" s="20" t="s">
        <v>261</v>
      </c>
      <c r="G134" s="20" t="s">
        <v>13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6" t="s">
        <v>207</v>
      </c>
      <c r="B135" s="4">
        <f>IFERROR(__xludf.DUMMYFUNCTION("IMPORTRANGE(""https://docs.google.com/spreadsheets/d/13zDiYSWN14dhBU8OxlbATFo4qBXba3m2YDRZbxsxouQ/edit?gid=0#gid=0"", ""CA148"")"),1276.0)</f>
        <v>1276</v>
      </c>
      <c r="C135" s="33" t="s">
        <v>169</v>
      </c>
      <c r="D135" s="8">
        <v>1.0</v>
      </c>
      <c r="E135" s="9" t="s">
        <v>44</v>
      </c>
      <c r="F135" s="10"/>
      <c r="G135" s="1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6" t="s">
        <v>208</v>
      </c>
      <c r="B136" s="4">
        <f>IFERROR(__xludf.DUMMYFUNCTION("IMPORTRANGE(""https://docs.google.com/spreadsheets/d/13zDiYSWN14dhBU8OxlbATFo4qBXba3m2YDRZbxsxouQ/edit?gid=0#gid=0"", ""CA131"")"),1283.0)</f>
        <v>1283</v>
      </c>
      <c r="C136" s="33" t="s">
        <v>169</v>
      </c>
      <c r="D136" s="8">
        <v>1.0</v>
      </c>
      <c r="E136" s="9" t="s">
        <v>6</v>
      </c>
      <c r="F136" s="10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6" t="s">
        <v>209</v>
      </c>
      <c r="B137" s="4">
        <f>IFERROR(__xludf.DUMMYFUNCTION("IMPORTRANGE(""https://docs.google.com/spreadsheets/d/13zDiYSWN14dhBU8OxlbATFo4qBXba3m2YDRZbxsxouQ/edit?gid=0#gid=0"", ""CA162"")"),1287.0)</f>
        <v>1287</v>
      </c>
      <c r="C137" s="33" t="s">
        <v>169</v>
      </c>
      <c r="D137" s="8">
        <v>1.0</v>
      </c>
      <c r="E137" s="9" t="s">
        <v>116</v>
      </c>
      <c r="F137" s="14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6" t="s">
        <v>210</v>
      </c>
      <c r="B138" s="4">
        <f>IFERROR(__xludf.DUMMYFUNCTION("IMPORTRANGE(""https://docs.google.com/spreadsheets/d/13zDiYSWN14dhBU8OxlbATFo4qBXba3m2YDRZbxsxouQ/edit?gid=0#gid=0"", ""CA118"")"),1294.0)</f>
        <v>1294</v>
      </c>
      <c r="C138" s="33" t="s">
        <v>169</v>
      </c>
      <c r="D138" s="8">
        <v>2.0</v>
      </c>
      <c r="E138" s="9" t="s">
        <v>32</v>
      </c>
      <c r="F138" s="18" t="s">
        <v>6</v>
      </c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6" t="s">
        <v>211</v>
      </c>
      <c r="B139" s="4">
        <f>IFERROR(__xludf.DUMMYFUNCTION("IMPORTRANGE(""https://docs.google.com/spreadsheets/d/13zDiYSWN14dhBU8OxlbATFo4qBXba3m2YDRZbxsxouQ/edit?gid=0#gid=0"", ""CA127"")"),1297.0)</f>
        <v>1297</v>
      </c>
      <c r="C139" s="33" t="s">
        <v>169</v>
      </c>
      <c r="D139" s="8">
        <v>1.0</v>
      </c>
      <c r="E139" s="9" t="s">
        <v>6</v>
      </c>
      <c r="F139" s="10"/>
      <c r="G139" s="10"/>
      <c r="H139" s="10"/>
      <c r="I139" s="9"/>
      <c r="J139" s="9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6" t="s">
        <v>231</v>
      </c>
      <c r="B140" s="4">
        <f>IFERROR(__xludf.DUMMYFUNCTION("IMPORTRANGE(""https://docs.google.com/spreadsheets/d/13zDiYSWN14dhBU8OxlbATFo4qBXba3m2YDRZbxsxouQ/edit?gid=0#gid=0"", ""CA92"")"),1357.0)</f>
        <v>1357</v>
      </c>
      <c r="C140" s="33" t="s">
        <v>169</v>
      </c>
      <c r="D140" s="8">
        <v>4.0</v>
      </c>
      <c r="E140" s="9" t="s">
        <v>23</v>
      </c>
      <c r="F140" s="10" t="s">
        <v>261</v>
      </c>
      <c r="G140" s="10" t="s">
        <v>117</v>
      </c>
      <c r="H140" s="20" t="s">
        <v>6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6" t="s">
        <v>212</v>
      </c>
      <c r="B141" s="4">
        <f>IFERROR(__xludf.DUMMYFUNCTION("IMPORTRANGE(""https://docs.google.com/spreadsheets/d/13zDiYSWN14dhBU8OxlbATFo4qBXba3m2YDRZbxsxouQ/edit?gid=0#gid=0"", ""CA114"")"),1299.0)</f>
        <v>1299</v>
      </c>
      <c r="C141" s="33" t="s">
        <v>169</v>
      </c>
      <c r="D141" s="4">
        <v>1.0</v>
      </c>
      <c r="E141" s="22" t="s">
        <v>32</v>
      </c>
      <c r="F141" s="9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6" t="s">
        <v>213</v>
      </c>
      <c r="B142" s="4">
        <f>IFERROR(__xludf.DUMMYFUNCTION("IMPORTRANGE(""https://docs.google.com/spreadsheets/d/13zDiYSWN14dhBU8OxlbATFo4qBXba3m2YDRZbxsxouQ/edit?gid=0#gid=0"", ""CA128"")"),1302.0)</f>
        <v>1302</v>
      </c>
      <c r="C142" s="33" t="s">
        <v>169</v>
      </c>
      <c r="D142" s="4">
        <v>1.0</v>
      </c>
      <c r="E142" s="22" t="s">
        <v>6</v>
      </c>
      <c r="F142" s="9"/>
      <c r="G142" s="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6" t="s">
        <v>214</v>
      </c>
      <c r="B143" s="4">
        <f>IFERROR(__xludf.DUMMYFUNCTION("IMPORTRANGE(""https://docs.google.com/spreadsheets/d/13zDiYSWN14dhBU8OxlbATFo4qBXba3m2YDRZbxsxouQ/edit?gid=0#gid=0"", ""CA93"")"),1311.0)</f>
        <v>1311</v>
      </c>
      <c r="C143" s="33" t="s">
        <v>169</v>
      </c>
      <c r="D143" s="4">
        <v>4.0</v>
      </c>
      <c r="E143" s="22" t="s">
        <v>73</v>
      </c>
      <c r="F143" s="20" t="s">
        <v>70</v>
      </c>
      <c r="G143" s="20" t="s">
        <v>6</v>
      </c>
      <c r="H143" s="20" t="s">
        <v>11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6" t="s">
        <v>267</v>
      </c>
      <c r="B144" s="4">
        <f>IFERROR(__xludf.DUMMYFUNCTION("IMPORTRANGE(""https://docs.google.com/spreadsheets/d/13zDiYSWN14dhBU8OxlbATFo4qBXba3m2YDRZbxsxouQ/edit?gid=0#gid=0"", ""CA95"")"),1316.0)</f>
        <v>1316</v>
      </c>
      <c r="C144" s="33" t="s">
        <v>169</v>
      </c>
      <c r="D144" s="4">
        <v>1.0</v>
      </c>
      <c r="E144" s="22" t="s">
        <v>261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6" t="s">
        <v>217</v>
      </c>
      <c r="B145" s="4">
        <f>IFERROR(__xludf.DUMMYFUNCTION("IMPORTRANGE(""https://docs.google.com/spreadsheets/d/13zDiYSWN14dhBU8OxlbATFo4qBXba3m2YDRZbxsxouQ/edit?gid=0#gid=0"", ""CA96"")"),1320.0)</f>
        <v>1320</v>
      </c>
      <c r="C145" s="33" t="s">
        <v>169</v>
      </c>
      <c r="D145" s="8">
        <v>8.0</v>
      </c>
      <c r="E145" s="9" t="s">
        <v>261</v>
      </c>
      <c r="F145" s="10" t="s">
        <v>37</v>
      </c>
      <c r="G145" s="20" t="s">
        <v>70</v>
      </c>
      <c r="H145" s="20" t="s">
        <v>140</v>
      </c>
      <c r="I145" s="6" t="s">
        <v>39</v>
      </c>
      <c r="J145" s="6" t="s">
        <v>6</v>
      </c>
      <c r="K145" s="20" t="s">
        <v>30</v>
      </c>
      <c r="L145" s="20" t="s">
        <v>13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6" t="s">
        <v>218</v>
      </c>
      <c r="B146" s="4">
        <f>IFERROR(__xludf.DUMMYFUNCTION("IMPORTRANGE(""https://docs.google.com/spreadsheets/d/13zDiYSWN14dhBU8OxlbATFo4qBXba3m2YDRZbxsxouQ/edit?gid=0#gid=0"", ""CA124"")"),1322.0)</f>
        <v>1322</v>
      </c>
      <c r="C146" s="33" t="s">
        <v>169</v>
      </c>
      <c r="D146" s="4">
        <v>1.0</v>
      </c>
      <c r="E146" s="9" t="s">
        <v>6</v>
      </c>
      <c r="F146" s="14"/>
      <c r="G146" s="14"/>
      <c r="H146" s="10"/>
      <c r="I146" s="10"/>
      <c r="J146" s="10"/>
      <c r="K146" s="26"/>
      <c r="L146" s="10"/>
      <c r="M146" s="10"/>
      <c r="N146" s="10"/>
      <c r="O146" s="10"/>
      <c r="P146" s="10"/>
      <c r="Q146" s="9"/>
      <c r="R146" s="9"/>
      <c r="S146" s="9"/>
      <c r="T146" s="26"/>
      <c r="U146" s="9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</row>
    <row r="147">
      <c r="A147" s="6" t="s">
        <v>219</v>
      </c>
      <c r="B147" s="4">
        <f>IFERROR(__xludf.DUMMYFUNCTION("IMPORTRANGE(""https://docs.google.com/spreadsheets/d/13zDiYSWN14dhBU8OxlbATFo4qBXba3m2YDRZbxsxouQ/edit?gid=0#gid=0"", ""CA97"")"),1340.0)</f>
        <v>1340</v>
      </c>
      <c r="C147" s="33" t="s">
        <v>169</v>
      </c>
      <c r="D147" s="4">
        <v>35.0</v>
      </c>
      <c r="E147" s="9" t="s">
        <v>220</v>
      </c>
      <c r="F147" s="10" t="s">
        <v>221</v>
      </c>
      <c r="G147" s="10" t="s">
        <v>34</v>
      </c>
      <c r="H147" s="10" t="s">
        <v>23</v>
      </c>
      <c r="I147" s="10" t="s">
        <v>116</v>
      </c>
      <c r="J147" s="10" t="s">
        <v>261</v>
      </c>
      <c r="K147" s="6" t="s">
        <v>27</v>
      </c>
      <c r="L147" s="10" t="s">
        <v>15</v>
      </c>
      <c r="M147" s="10" t="s">
        <v>37</v>
      </c>
      <c r="N147" s="10" t="s">
        <v>117</v>
      </c>
      <c r="O147" s="10" t="s">
        <v>118</v>
      </c>
      <c r="P147" s="10" t="s">
        <v>13</v>
      </c>
      <c r="Q147" s="20" t="s">
        <v>222</v>
      </c>
      <c r="R147" s="20" t="s">
        <v>140</v>
      </c>
      <c r="S147" s="20" t="s">
        <v>70</v>
      </c>
      <c r="T147" s="6" t="s">
        <v>44</v>
      </c>
      <c r="U147" s="20" t="s">
        <v>223</v>
      </c>
      <c r="V147" s="6" t="s">
        <v>224</v>
      </c>
      <c r="W147" s="6" t="s">
        <v>55</v>
      </c>
      <c r="X147" s="6" t="s">
        <v>26</v>
      </c>
      <c r="Y147" s="6" t="s">
        <v>101</v>
      </c>
      <c r="Z147" s="6" t="s">
        <v>21</v>
      </c>
      <c r="AA147" s="6" t="s">
        <v>78</v>
      </c>
      <c r="AB147" s="6" t="s">
        <v>51</v>
      </c>
      <c r="AC147" s="6" t="s">
        <v>6</v>
      </c>
      <c r="AD147" s="6" t="s">
        <v>30</v>
      </c>
      <c r="AE147" s="6" t="s">
        <v>125</v>
      </c>
      <c r="AF147" s="6" t="s">
        <v>29</v>
      </c>
      <c r="AG147" s="6" t="s">
        <v>225</v>
      </c>
      <c r="AH147" s="6" t="s">
        <v>64</v>
      </c>
      <c r="AI147" s="6" t="s">
        <v>120</v>
      </c>
      <c r="AJ147" s="6" t="s">
        <v>226</v>
      </c>
      <c r="AK147" s="6" t="s">
        <v>114</v>
      </c>
      <c r="AL147" s="20" t="s">
        <v>21</v>
      </c>
      <c r="AM147" s="6" t="s">
        <v>119</v>
      </c>
      <c r="AN147" s="6" t="s">
        <v>60</v>
      </c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</row>
    <row r="148">
      <c r="A148" s="6" t="s">
        <v>227</v>
      </c>
      <c r="B148" s="4">
        <f>IFERROR(__xludf.DUMMYFUNCTION("IMPORTRANGE(""https://docs.google.com/spreadsheets/d/13zDiYSWN14dhBU8OxlbATFo4qBXba3m2YDRZbxsxouQ/edit?gid=0#gid=0"", ""CA98"")"),1342.0)</f>
        <v>1342</v>
      </c>
      <c r="C148" s="33" t="s">
        <v>169</v>
      </c>
      <c r="D148" s="4">
        <v>2.0</v>
      </c>
      <c r="E148" s="22" t="s">
        <v>27</v>
      </c>
      <c r="F148" s="20" t="s">
        <v>21</v>
      </c>
      <c r="G148" s="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6" t="s">
        <v>215</v>
      </c>
      <c r="B149" s="4">
        <f>IFERROR(__xludf.DUMMYFUNCTION("IMPORTRANGE(""https://docs.google.com/spreadsheets/d/13zDiYSWN14dhBU8OxlbATFo4qBXba3m2YDRZbxsxouQ/edit?gid=0#gid=0"", ""CA99"")"),1318.0)</f>
        <v>1318</v>
      </c>
      <c r="C149" s="33" t="s">
        <v>169</v>
      </c>
      <c r="D149" s="8">
        <v>1.0</v>
      </c>
      <c r="E149" s="9" t="s">
        <v>70</v>
      </c>
      <c r="F149" s="1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6" t="s">
        <v>229</v>
      </c>
      <c r="B150" s="4">
        <f>IFERROR(__xludf.DUMMYFUNCTION("IMPORTRANGE(""https://docs.google.com/spreadsheets/d/13zDiYSWN14dhBU8OxlbATFo4qBXba3m2YDRZbxsxouQ/edit?gid=0#gid=0"", ""CA100"")"),1352.0)</f>
        <v>1352</v>
      </c>
      <c r="C150" s="33" t="s">
        <v>169</v>
      </c>
      <c r="D150" s="8">
        <v>3.0</v>
      </c>
      <c r="E150" s="9" t="s">
        <v>225</v>
      </c>
      <c r="F150" s="18" t="s">
        <v>32</v>
      </c>
      <c r="G150" s="20" t="s">
        <v>37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6" t="s">
        <v>112</v>
      </c>
      <c r="B151" s="4">
        <f>IFERROR(__xludf.DUMMYFUNCTION("IMPORTRANGE(""https://docs.google.com/spreadsheets/d/13zDiYSWN14dhBU8OxlbATFo4qBXba3m2YDRZbxsxouQ/edit?gid=0#gid=0"", ""CA101"")"),1363.0)</f>
        <v>1363</v>
      </c>
      <c r="C151" s="33" t="s">
        <v>169</v>
      </c>
      <c r="D151" s="8">
        <v>6.0</v>
      </c>
      <c r="E151" s="9" t="s">
        <v>261</v>
      </c>
      <c r="F151" s="10" t="s">
        <v>13</v>
      </c>
      <c r="G151" s="20" t="s">
        <v>27</v>
      </c>
      <c r="H151" s="20" t="s">
        <v>39</v>
      </c>
      <c r="I151" s="20" t="s">
        <v>6</v>
      </c>
      <c r="J151" s="20" t="s">
        <v>233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6" t="s">
        <v>234</v>
      </c>
      <c r="B152" s="4">
        <f>IFERROR(__xludf.DUMMYFUNCTION("IMPORTRANGE(""https://docs.google.com/spreadsheets/d/13zDiYSWN14dhBU8OxlbATFo4qBXba3m2YDRZbxsxouQ/edit?gid=0#gid=0"", ""CA102"")"),1365.0)</f>
        <v>1365</v>
      </c>
      <c r="C152" s="33" t="s">
        <v>169</v>
      </c>
      <c r="D152" s="8">
        <v>1.0</v>
      </c>
      <c r="E152" s="9" t="s">
        <v>21</v>
      </c>
      <c r="F152" s="10"/>
      <c r="G152" s="10"/>
      <c r="H152" s="10"/>
      <c r="I152" s="9"/>
      <c r="J152" s="9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6" t="s">
        <v>235</v>
      </c>
      <c r="B153" s="4">
        <f>IFERROR(__xludf.DUMMYFUNCTION("IMPORTRANGE(""https://docs.google.com/spreadsheets/d/13zDiYSWN14dhBU8OxlbATFo4qBXba3m2YDRZbxsxouQ/edit?gid=0#gid=0"", ""CA106"")"),1367.0)</f>
        <v>1367</v>
      </c>
      <c r="C153" s="33" t="s">
        <v>169</v>
      </c>
      <c r="D153" s="4">
        <v>1.0</v>
      </c>
      <c r="E153" s="5" t="s">
        <v>21</v>
      </c>
      <c r="F153" s="9"/>
      <c r="G153" s="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6" t="s">
        <v>236</v>
      </c>
      <c r="B154" s="4">
        <f>IFERROR(__xludf.DUMMYFUNCTION("IMPORTRANGE(""https://docs.google.com/spreadsheets/d/13zDiYSWN14dhBU8OxlbATFo4qBXba3m2YDRZbxsxouQ/edit?gid=0#gid=0"", ""CA151"")"),1309.0)</f>
        <v>1309</v>
      </c>
      <c r="C154" s="33" t="s">
        <v>169</v>
      </c>
      <c r="D154" s="4">
        <v>1.0</v>
      </c>
      <c r="E154" s="22" t="s">
        <v>6</v>
      </c>
      <c r="F154" s="9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6" t="s">
        <v>237</v>
      </c>
      <c r="B155" s="4">
        <f>IFERROR(__xludf.DUMMYFUNCTION("IMPORTRANGE(""https://docs.google.com/spreadsheets/d/13zDiYSWN14dhBU8OxlbATFo4qBXba3m2YDRZbxsxouQ/edit?gid=0#gid=0"", ""CA113"")"),1380.0)</f>
        <v>1380</v>
      </c>
      <c r="C155" s="33" t="s">
        <v>169</v>
      </c>
      <c r="D155" s="4">
        <v>2.0</v>
      </c>
      <c r="E155" s="22" t="s">
        <v>32</v>
      </c>
      <c r="F155" s="20" t="s">
        <v>6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6" t="s">
        <v>238</v>
      </c>
      <c r="B156" s="4">
        <f>IFERROR(__xludf.DUMMYFUNCTION("IMPORTRANGE(""https://docs.google.com/spreadsheets/d/13zDiYSWN14dhBU8OxlbATFo4qBXba3m2YDRZbxsxouQ/edit?gid=0#gid=0"", ""CA103"")"),1382.0)</f>
        <v>1382</v>
      </c>
      <c r="C156" s="33" t="s">
        <v>169</v>
      </c>
      <c r="D156" s="4">
        <v>2.0</v>
      </c>
      <c r="E156" s="22" t="s">
        <v>37</v>
      </c>
      <c r="F156" s="20" t="s">
        <v>38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6" t="s">
        <v>239</v>
      </c>
      <c r="B157" s="4">
        <f>IFERROR(__xludf.DUMMYFUNCTION("IMPORTRANGE(""https://docs.google.com/spreadsheets/d/13zDiYSWN14dhBU8OxlbATFo4qBXba3m2YDRZbxsxouQ/edit?gid=0#gid=0"", ""CA104"")"),1383.0)</f>
        <v>1383</v>
      </c>
      <c r="C157" s="33" t="s">
        <v>169</v>
      </c>
      <c r="D157" s="4">
        <v>2.0</v>
      </c>
      <c r="E157" s="22" t="s">
        <v>27</v>
      </c>
      <c r="F157" s="20" t="s">
        <v>6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6" t="s">
        <v>240</v>
      </c>
      <c r="B158" s="4">
        <f>IFERROR(__xludf.DUMMYFUNCTION("IMPORTRANGE(""https://docs.google.com/spreadsheets/d/13zDiYSWN14dhBU8OxlbATFo4qBXba3m2YDRZbxsxouQ/edit?gid=0#gid=0"", ""CA105"")"),1385.0)</f>
        <v>1385</v>
      </c>
      <c r="C158" s="33" t="s">
        <v>169</v>
      </c>
      <c r="D158" s="8">
        <v>12.0</v>
      </c>
      <c r="E158" s="9" t="s">
        <v>261</v>
      </c>
      <c r="F158" s="10" t="s">
        <v>37</v>
      </c>
      <c r="G158" s="10" t="s">
        <v>125</v>
      </c>
      <c r="H158" s="10" t="s">
        <v>27</v>
      </c>
      <c r="I158" s="20" t="s">
        <v>241</v>
      </c>
      <c r="J158" s="20" t="s">
        <v>39</v>
      </c>
      <c r="K158" s="20" t="s">
        <v>26</v>
      </c>
      <c r="L158" s="20" t="s">
        <v>38</v>
      </c>
      <c r="M158" s="20" t="s">
        <v>29</v>
      </c>
      <c r="N158" s="20" t="s">
        <v>60</v>
      </c>
      <c r="O158" s="20" t="s">
        <v>6</v>
      </c>
      <c r="P158" s="20" t="s">
        <v>13</v>
      </c>
      <c r="Q158" s="11"/>
      <c r="R158" s="11"/>
      <c r="S158" s="11"/>
      <c r="T158" s="11"/>
      <c r="U158" s="11"/>
      <c r="V158" s="11"/>
    </row>
    <row r="159">
      <c r="A159" s="6" t="s">
        <v>242</v>
      </c>
      <c r="B159" s="4">
        <f>IFERROR(__xludf.DUMMYFUNCTION("IMPORTRANGE(""https://docs.google.com/spreadsheets/d/13zDiYSWN14dhBU8OxlbATFo4qBXba3m2YDRZbxsxouQ/edit?gid=0#gid=0"", ""CA112"")"),1386.0)</f>
        <v>1386</v>
      </c>
      <c r="C159" s="33" t="s">
        <v>169</v>
      </c>
      <c r="D159" s="4">
        <v>1.0</v>
      </c>
      <c r="E159" s="22" t="s">
        <v>116</v>
      </c>
      <c r="F159" s="9"/>
      <c r="G159" s="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6" t="s">
        <v>243</v>
      </c>
      <c r="B160" s="4">
        <f>IFERROR(__xludf.DUMMYFUNCTION("IMPORTRANGE(""https://docs.google.com/spreadsheets/d/13zDiYSWN14dhBU8OxlbATFo4qBXba3m2YDRZbxsxouQ/edit?gid=0#gid=0"", ""CA120"")"),1392.0)</f>
        <v>1392</v>
      </c>
      <c r="C160" s="33" t="s">
        <v>169</v>
      </c>
      <c r="D160" s="4">
        <v>2.0</v>
      </c>
      <c r="E160" s="22" t="s">
        <v>39</v>
      </c>
      <c r="F160" s="20" t="s">
        <v>6</v>
      </c>
      <c r="G160" s="9"/>
      <c r="H160" s="9"/>
      <c r="I160" s="9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6" t="s">
        <v>244</v>
      </c>
      <c r="B161" s="4">
        <f>IFERROR(__xludf.DUMMYFUNCTION("IMPORTRANGE(""https://docs.google.com/spreadsheets/d/13zDiYSWN14dhBU8OxlbATFo4qBXba3m2YDRZbxsxouQ/edit?gid=0#gid=0"", ""CA107"")"),1411.0)</f>
        <v>1411</v>
      </c>
      <c r="C161" s="33" t="s">
        <v>169</v>
      </c>
      <c r="D161" s="4">
        <v>5.0</v>
      </c>
      <c r="E161" s="22" t="s">
        <v>114</v>
      </c>
      <c r="F161" s="20" t="s">
        <v>245</v>
      </c>
      <c r="G161" s="20" t="s">
        <v>27</v>
      </c>
      <c r="H161" s="20" t="s">
        <v>60</v>
      </c>
      <c r="I161" s="20" t="s">
        <v>37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ht="15.0" customHeight="1">
      <c r="A162" s="6" t="s">
        <v>268</v>
      </c>
      <c r="B162" s="4">
        <f>IFERROR(__xludf.DUMMYFUNCTION("IMPORTRANGE(""https://docs.google.com/spreadsheets/d/13zDiYSWN14dhBU8OxlbATFo4qBXba3m2YDRZbxsxouQ/edit?gid=0#gid=0"", ""CA108"")"),160.0)</f>
        <v>160</v>
      </c>
      <c r="C162" s="33" t="s">
        <v>169</v>
      </c>
      <c r="D162" s="4">
        <v>6.0</v>
      </c>
      <c r="E162" s="22" t="s">
        <v>261</v>
      </c>
      <c r="F162" s="20" t="s">
        <v>13</v>
      </c>
      <c r="G162" s="20" t="s">
        <v>6</v>
      </c>
      <c r="H162" s="20" t="s">
        <v>51</v>
      </c>
      <c r="I162" s="20" t="s">
        <v>11</v>
      </c>
      <c r="J162" s="20" t="s">
        <v>119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6" t="s">
        <v>269</v>
      </c>
      <c r="B163" s="4">
        <f>IFERROR(__xludf.DUMMYFUNCTION("IMPORTRANGE(""https://docs.google.com/spreadsheets/d/13zDiYSWN14dhBU8OxlbATFo4qBXba3m2YDRZbxsxouQ/edit?gid=0#gid=0"", ""CA140"")"),1419.0)</f>
        <v>1419</v>
      </c>
      <c r="C163" s="33" t="s">
        <v>169</v>
      </c>
      <c r="D163" s="4">
        <v>1.0</v>
      </c>
      <c r="E163" s="42" t="s">
        <v>261</v>
      </c>
      <c r="F163" s="9"/>
      <c r="G163" s="9"/>
      <c r="H163" s="9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6" t="s">
        <v>246</v>
      </c>
      <c r="B164" s="4">
        <f>IFERROR(__xludf.DUMMYFUNCTION("IMPORTRANGE(""https://docs.google.com/spreadsheets/d/13zDiYSWN14dhBU8OxlbATFo4qBXba3m2YDRZbxsxouQ/edit?gid=0#gid=0"", ""CA117"")"),1421.0)</f>
        <v>1421</v>
      </c>
      <c r="C164" s="33" t="s">
        <v>169</v>
      </c>
      <c r="D164" s="4">
        <v>4.0</v>
      </c>
      <c r="E164" s="9" t="s">
        <v>261</v>
      </c>
      <c r="F164" s="18" t="s">
        <v>13</v>
      </c>
      <c r="G164" s="18" t="s">
        <v>51</v>
      </c>
      <c r="H164" s="18" t="s">
        <v>39</v>
      </c>
      <c r="I164" s="10"/>
      <c r="J164" s="10"/>
      <c r="K164" s="26"/>
      <c r="L164" s="10"/>
      <c r="M164" s="10"/>
      <c r="N164" s="10"/>
      <c r="O164" s="10"/>
      <c r="P164" s="10"/>
      <c r="Q164" s="9"/>
      <c r="R164" s="9"/>
      <c r="S164" s="9"/>
      <c r="T164" s="26"/>
      <c r="U164" s="9"/>
      <c r="V164" s="26"/>
      <c r="W164" s="26"/>
      <c r="X164" s="26"/>
      <c r="Y164" s="26"/>
      <c r="Z164" s="26"/>
      <c r="AA164" s="26"/>
      <c r="AB164" s="26"/>
      <c r="AE164" s="26"/>
      <c r="AG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</row>
    <row r="165">
      <c r="A165" s="6" t="s">
        <v>247</v>
      </c>
      <c r="B165" s="4">
        <f>IFERROR(__xludf.DUMMYFUNCTION("IMPORTRANGE(""https://docs.google.com/spreadsheets/d/13zDiYSWN14dhBU8OxlbATFo4qBXba3m2YDRZbxsxouQ/edit?gid=0#gid=0"", ""CA110"")"),1422.0)</f>
        <v>1422</v>
      </c>
      <c r="C165" s="33" t="s">
        <v>169</v>
      </c>
      <c r="D165" s="4">
        <v>24.0</v>
      </c>
      <c r="E165" s="9" t="s">
        <v>34</v>
      </c>
      <c r="F165" s="18" t="s">
        <v>248</v>
      </c>
      <c r="G165" s="18" t="s">
        <v>116</v>
      </c>
      <c r="H165" s="10" t="s">
        <v>27</v>
      </c>
      <c r="I165" s="10" t="s">
        <v>261</v>
      </c>
      <c r="J165" s="10" t="s">
        <v>73</v>
      </c>
      <c r="K165" s="10" t="s">
        <v>13</v>
      </c>
      <c r="L165" s="10" t="s">
        <v>173</v>
      </c>
      <c r="M165" s="10" t="s">
        <v>114</v>
      </c>
      <c r="N165" s="10" t="s">
        <v>241</v>
      </c>
      <c r="O165" s="10" t="s">
        <v>60</v>
      </c>
      <c r="P165" s="10" t="s">
        <v>37</v>
      </c>
      <c r="Q165" s="10" t="s">
        <v>70</v>
      </c>
      <c r="R165" s="20" t="s">
        <v>21</v>
      </c>
      <c r="S165" s="6" t="s">
        <v>32</v>
      </c>
      <c r="T165" s="20" t="s">
        <v>39</v>
      </c>
      <c r="U165" s="6" t="s">
        <v>51</v>
      </c>
      <c r="V165" s="6" t="s">
        <v>55</v>
      </c>
      <c r="W165" s="6" t="s">
        <v>78</v>
      </c>
      <c r="X165" s="6" t="s">
        <v>6</v>
      </c>
      <c r="Y165" s="6" t="s">
        <v>38</v>
      </c>
      <c r="Z165" s="6" t="s">
        <v>26</v>
      </c>
      <c r="AA165" s="6" t="s">
        <v>119</v>
      </c>
      <c r="AB165" s="6" t="s">
        <v>152</v>
      </c>
    </row>
    <row r="166">
      <c r="A166" s="6" t="s">
        <v>249</v>
      </c>
      <c r="B166" s="4">
        <f>IFERROR(__xludf.DUMMYFUNCTION("IMPORTRANGE(""https://docs.google.com/spreadsheets/d/13zDiYSWN14dhBU8OxlbATFo4qBXba3m2YDRZbxsxouQ/edit?gid=0#gid=0"", ""CA152"")"),1424.0)</f>
        <v>1424</v>
      </c>
      <c r="C166" s="33" t="s">
        <v>169</v>
      </c>
      <c r="D166" s="4">
        <v>5.0</v>
      </c>
      <c r="E166" s="26" t="s">
        <v>64</v>
      </c>
      <c r="F166" s="35" t="s">
        <v>38</v>
      </c>
      <c r="G166" s="20" t="s">
        <v>6</v>
      </c>
      <c r="H166" s="20" t="s">
        <v>30</v>
      </c>
      <c r="I166" s="20" t="s">
        <v>13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6" t="s">
        <v>250</v>
      </c>
      <c r="B167" s="4">
        <f>IFERROR(__xludf.DUMMYFUNCTION("IMPORTRANGE(""https://docs.google.com/spreadsheets/d/13zDiYSWN14dhBU8OxlbATFo4qBXba3m2YDRZbxsxouQ/edit?gid=0#gid=0"", ""CA154"")"),1425.0)</f>
        <v>1425</v>
      </c>
      <c r="C167" s="33" t="s">
        <v>169</v>
      </c>
      <c r="D167" s="4">
        <v>2.0</v>
      </c>
      <c r="E167" s="42" t="s">
        <v>261</v>
      </c>
      <c r="F167" s="20" t="s">
        <v>37</v>
      </c>
      <c r="G167" s="9"/>
      <c r="H167" s="9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6" t="s">
        <v>251</v>
      </c>
      <c r="B168" s="4">
        <f>IFERROR(__xludf.DUMMYFUNCTION("IMPORTRANGE(""https://docs.google.com/spreadsheets/d/13zDiYSWN14dhBU8OxlbATFo4qBXba3m2YDRZbxsxouQ/edit?gid=0#gid=0"", ""CA111"")"),1426.0)</f>
        <v>1426</v>
      </c>
      <c r="C168" s="33" t="s">
        <v>169</v>
      </c>
      <c r="D168" s="4">
        <v>5.0</v>
      </c>
      <c r="E168" s="22" t="s">
        <v>23</v>
      </c>
      <c r="F168" s="20" t="s">
        <v>261</v>
      </c>
      <c r="G168" s="20" t="s">
        <v>70</v>
      </c>
      <c r="H168" s="20" t="s">
        <v>6</v>
      </c>
      <c r="I168" s="20" t="s">
        <v>38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D169" s="5"/>
    </row>
    <row r="172">
      <c r="E172" s="5" t="s">
        <v>270</v>
      </c>
    </row>
    <row r="173">
      <c r="E173" s="5" t="s">
        <v>253</v>
      </c>
      <c r="F173" s="36">
        <f>IFERROR(__xludf.DUMMYFUNCTION("COUNTUNIQUE(ARRAYFORMULA(PROPER(E3:AJ168) ))"),53.0)</f>
        <v>53</v>
      </c>
    </row>
    <row r="174">
      <c r="D174" s="26"/>
      <c r="E174" s="10"/>
      <c r="F174" s="14"/>
      <c r="G174" s="10"/>
    </row>
  </sheetData>
  <hyperlinks>
    <hyperlink r:id="rId2" ref="A2"/>
    <hyperlink r:id="rId3" ref="A3"/>
    <hyperlink r:id="rId4" ref="A4"/>
    <hyperlink r:id="rId5" ref="A5"/>
    <hyperlink r:id="rId6" ref="A6"/>
    <hyperlink r:id="rId7" ref="A7"/>
    <hyperlink r:id="rId8" ref="F7"/>
    <hyperlink r:id="rId9" ref="A8"/>
    <hyperlink r:id="rId10" ref="A9"/>
    <hyperlink r:id="rId11" ref="F9"/>
    <hyperlink r:id="rId12" ref="A10"/>
    <hyperlink r:id="rId13" ref="F10"/>
    <hyperlink r:id="rId14" ref="A11"/>
    <hyperlink r:id="rId15" ref="A12"/>
    <hyperlink r:id="rId16" ref="F12"/>
    <hyperlink r:id="rId17" ref="G12"/>
    <hyperlink r:id="rId18" ref="A13"/>
    <hyperlink r:id="rId19" ref="F13"/>
    <hyperlink r:id="rId20" ref="G13"/>
    <hyperlink r:id="rId21" ref="A14"/>
    <hyperlink r:id="rId22" ref="F14"/>
    <hyperlink r:id="rId23" ref="G14"/>
    <hyperlink r:id="rId24" ref="A15"/>
    <hyperlink r:id="rId25" ref="F15"/>
    <hyperlink r:id="rId26" ref="G15"/>
    <hyperlink r:id="rId27" ref="H15"/>
    <hyperlink r:id="rId28" ref="I15"/>
    <hyperlink r:id="rId29" ref="J15"/>
    <hyperlink r:id="rId30" ref="K15"/>
    <hyperlink r:id="rId31" ref="A16"/>
    <hyperlink r:id="rId32" ref="F16"/>
    <hyperlink r:id="rId33" ref="G16"/>
    <hyperlink r:id="rId34" ref="A17"/>
    <hyperlink r:id="rId35" ref="A18"/>
    <hyperlink r:id="rId36" ref="A19"/>
    <hyperlink r:id="rId37" ref="F19"/>
    <hyperlink r:id="rId38" ref="G19"/>
    <hyperlink r:id="rId39" ref="A20"/>
    <hyperlink r:id="rId40" ref="A21"/>
    <hyperlink r:id="rId41" ref="A22"/>
    <hyperlink r:id="rId42" ref="F22"/>
    <hyperlink r:id="rId43" ref="G22"/>
    <hyperlink r:id="rId44" ref="A23"/>
    <hyperlink r:id="rId45" ref="A24"/>
    <hyperlink r:id="rId46" ref="A25"/>
    <hyperlink r:id="rId47" ref="A26"/>
    <hyperlink r:id="rId48" ref="A27"/>
    <hyperlink r:id="rId49" ref="A28"/>
    <hyperlink r:id="rId50" ref="F28"/>
    <hyperlink r:id="rId51" ref="G28"/>
    <hyperlink r:id="rId52" ref="H28"/>
    <hyperlink r:id="rId53" ref="A29"/>
    <hyperlink r:id="rId54" ref="A30"/>
    <hyperlink r:id="rId55" ref="A31"/>
    <hyperlink r:id="rId56" ref="F31"/>
    <hyperlink r:id="rId57" ref="G31"/>
    <hyperlink r:id="rId58" ref="H31"/>
    <hyperlink r:id="rId59" ref="A32"/>
    <hyperlink r:id="rId60" ref="F32"/>
    <hyperlink r:id="rId61" ref="G32"/>
    <hyperlink r:id="rId62" ref="H32"/>
    <hyperlink r:id="rId63" ref="I32"/>
    <hyperlink r:id="rId64" ref="A33"/>
    <hyperlink r:id="rId65" ref="F33"/>
    <hyperlink r:id="rId66" ref="A34"/>
    <hyperlink r:id="rId67" ref="A35"/>
    <hyperlink r:id="rId68" ref="A36"/>
    <hyperlink r:id="rId69" ref="A37"/>
    <hyperlink r:id="rId70" ref="A38"/>
    <hyperlink r:id="rId71" ref="F38"/>
    <hyperlink r:id="rId72" ref="G38"/>
    <hyperlink r:id="rId73" ref="H38"/>
    <hyperlink r:id="rId74" ref="I38"/>
    <hyperlink r:id="rId75" ref="J38"/>
    <hyperlink r:id="rId76" ref="K38"/>
    <hyperlink r:id="rId77" ref="L38"/>
    <hyperlink r:id="rId78" ref="M38"/>
    <hyperlink r:id="rId79" ref="N38"/>
    <hyperlink r:id="rId80" ref="A39"/>
    <hyperlink r:id="rId81" ref="A40"/>
    <hyperlink r:id="rId82" ref="A41"/>
    <hyperlink r:id="rId83" ref="A42"/>
    <hyperlink r:id="rId84" ref="F42"/>
    <hyperlink r:id="rId85" ref="A43"/>
    <hyperlink r:id="rId86" ref="A44"/>
    <hyperlink r:id="rId87" ref="A45"/>
    <hyperlink r:id="rId88" ref="F45"/>
    <hyperlink r:id="rId89" ref="G45"/>
    <hyperlink r:id="rId90" ref="H45"/>
    <hyperlink r:id="rId91" ref="I45"/>
    <hyperlink r:id="rId92" ref="J45"/>
    <hyperlink r:id="rId93" ref="A46"/>
    <hyperlink r:id="rId94" ref="A47"/>
    <hyperlink r:id="rId95" ref="A48"/>
    <hyperlink r:id="rId96" ref="F48"/>
    <hyperlink r:id="rId97" ref="G48"/>
    <hyperlink r:id="rId98" ref="A49"/>
    <hyperlink r:id="rId99" ref="F49"/>
    <hyperlink r:id="rId100" ref="G49"/>
    <hyperlink r:id="rId101" ref="A50"/>
    <hyperlink r:id="rId102" ref="A51"/>
    <hyperlink r:id="rId103" ref="A52"/>
    <hyperlink r:id="rId104" ref="A53"/>
    <hyperlink r:id="rId105" ref="F53"/>
    <hyperlink r:id="rId106" ref="G53"/>
    <hyperlink r:id="rId107" ref="H53"/>
    <hyperlink r:id="rId108" ref="I53"/>
    <hyperlink r:id="rId109" ref="J53"/>
    <hyperlink r:id="rId110" ref="K53"/>
    <hyperlink r:id="rId111" ref="L53"/>
    <hyperlink r:id="rId112" ref="M53"/>
    <hyperlink r:id="rId113" ref="N53"/>
    <hyperlink r:id="rId114" ref="O53"/>
    <hyperlink r:id="rId115" ref="P53"/>
    <hyperlink r:id="rId116" ref="A54"/>
    <hyperlink r:id="rId117" ref="F54"/>
    <hyperlink r:id="rId118" ref="G54"/>
    <hyperlink r:id="rId119" ref="H54"/>
    <hyperlink r:id="rId120" ref="I54"/>
    <hyperlink r:id="rId121" ref="A55"/>
    <hyperlink r:id="rId122" ref="A56"/>
    <hyperlink r:id="rId123" ref="A57"/>
    <hyperlink r:id="rId124" ref="F57"/>
    <hyperlink r:id="rId125" ref="G57"/>
    <hyperlink r:id="rId126" ref="H57"/>
    <hyperlink r:id="rId127" ref="A58"/>
    <hyperlink r:id="rId128" ref="F58"/>
    <hyperlink r:id="rId129" ref="A59"/>
    <hyperlink r:id="rId130" ref="F59"/>
    <hyperlink r:id="rId131" ref="A60"/>
    <hyperlink r:id="rId132" ref="A61"/>
    <hyperlink r:id="rId133" ref="F61"/>
    <hyperlink r:id="rId134" ref="A62"/>
    <hyperlink r:id="rId135" ref="A63"/>
    <hyperlink r:id="rId136" ref="A64"/>
    <hyperlink r:id="rId137" ref="F64"/>
    <hyperlink r:id="rId138" ref="A65"/>
    <hyperlink r:id="rId139" ref="A66"/>
    <hyperlink r:id="rId140" ref="F66"/>
    <hyperlink r:id="rId141" ref="G66"/>
    <hyperlink r:id="rId142" ref="H66"/>
    <hyperlink r:id="rId143" ref="I66"/>
    <hyperlink r:id="rId144" ref="J66"/>
    <hyperlink r:id="rId145" ref="K66"/>
    <hyperlink r:id="rId146" ref="A67"/>
    <hyperlink r:id="rId147" ref="F67"/>
    <hyperlink r:id="rId148" ref="G67"/>
    <hyperlink r:id="rId149" ref="H67"/>
    <hyperlink r:id="rId150" ref="I67"/>
    <hyperlink r:id="rId151" ref="J67"/>
    <hyperlink r:id="rId152" ref="K67"/>
    <hyperlink r:id="rId153" ref="L67"/>
    <hyperlink r:id="rId154" ref="M67"/>
    <hyperlink r:id="rId155" ref="N67"/>
    <hyperlink r:id="rId156" ref="O67"/>
    <hyperlink r:id="rId157" ref="P67"/>
    <hyperlink r:id="rId158" ref="Q67"/>
    <hyperlink r:id="rId159" ref="R67"/>
    <hyperlink r:id="rId160" ref="S67"/>
    <hyperlink r:id="rId161" ref="T67"/>
    <hyperlink r:id="rId162" ref="U67"/>
    <hyperlink r:id="rId163" ref="V67"/>
    <hyperlink r:id="rId164" ref="W67"/>
    <hyperlink r:id="rId165" ref="X67"/>
    <hyperlink r:id="rId166" ref="Y67"/>
    <hyperlink r:id="rId167" ref="Z67"/>
    <hyperlink r:id="rId168" ref="AA67"/>
    <hyperlink r:id="rId169" ref="AB67"/>
    <hyperlink r:id="rId170" ref="AC67"/>
    <hyperlink r:id="rId171" ref="AD67"/>
    <hyperlink r:id="rId172" ref="AE67"/>
    <hyperlink r:id="rId173" ref="AF67"/>
    <hyperlink r:id="rId174" ref="AG67"/>
    <hyperlink r:id="rId175" ref="A68"/>
    <hyperlink r:id="rId176" ref="F68"/>
    <hyperlink r:id="rId177" ref="G68"/>
    <hyperlink r:id="rId178" ref="A69"/>
    <hyperlink r:id="rId179" ref="F69"/>
    <hyperlink r:id="rId180" ref="G69"/>
    <hyperlink r:id="rId181" ref="H69"/>
    <hyperlink r:id="rId182" ref="I69"/>
    <hyperlink r:id="rId183" ref="J69"/>
    <hyperlink r:id="rId184" ref="K69"/>
    <hyperlink r:id="rId185" ref="L69"/>
    <hyperlink r:id="rId186" ref="M69"/>
    <hyperlink r:id="rId187" ref="N69"/>
    <hyperlink r:id="rId188" ref="O69"/>
    <hyperlink r:id="rId189" ref="P69"/>
    <hyperlink r:id="rId190" ref="Q69"/>
    <hyperlink r:id="rId191" ref="A70"/>
    <hyperlink r:id="rId192" ref="A71"/>
    <hyperlink r:id="rId193" ref="F71"/>
    <hyperlink r:id="rId194" ref="G71"/>
    <hyperlink r:id="rId195" ref="A72"/>
    <hyperlink r:id="rId196" ref="F72"/>
    <hyperlink r:id="rId197" ref="A73"/>
    <hyperlink r:id="rId198" ref="F73"/>
    <hyperlink r:id="rId199" ref="A74"/>
    <hyperlink r:id="rId200" ref="F74"/>
    <hyperlink r:id="rId201" ref="A75"/>
    <hyperlink r:id="rId202" ref="A76"/>
    <hyperlink r:id="rId203" ref="A77"/>
    <hyperlink r:id="rId204" ref="F77"/>
    <hyperlink r:id="rId205" ref="G77"/>
    <hyperlink r:id="rId206" ref="H77"/>
    <hyperlink r:id="rId207" ref="I77"/>
    <hyperlink r:id="rId208" ref="J77"/>
    <hyperlink r:id="rId209" ref="K77"/>
    <hyperlink r:id="rId210" ref="L77"/>
    <hyperlink r:id="rId211" ref="M77"/>
    <hyperlink r:id="rId212" ref="N77"/>
    <hyperlink r:id="rId213" ref="O77"/>
    <hyperlink r:id="rId214" ref="P77"/>
    <hyperlink r:id="rId215" ref="Q77"/>
    <hyperlink r:id="rId216" ref="A78"/>
    <hyperlink r:id="rId217" ref="A79"/>
    <hyperlink r:id="rId218" ref="A80"/>
    <hyperlink r:id="rId219" ref="A81"/>
    <hyperlink r:id="rId220" ref="F81"/>
    <hyperlink r:id="rId221" ref="G81"/>
    <hyperlink r:id="rId222" ref="A82"/>
    <hyperlink r:id="rId223" ref="A83"/>
    <hyperlink r:id="rId224" ref="F83"/>
    <hyperlink r:id="rId225" ref="G83"/>
    <hyperlink r:id="rId226" ref="A84"/>
    <hyperlink r:id="rId227" ref="F84"/>
    <hyperlink r:id="rId228" ref="A85"/>
    <hyperlink r:id="rId229" ref="F85"/>
    <hyperlink r:id="rId230" ref="G85"/>
    <hyperlink r:id="rId231" ref="A86"/>
    <hyperlink r:id="rId232" ref="F86"/>
    <hyperlink r:id="rId233" ref="G86"/>
    <hyperlink r:id="rId234" ref="A87"/>
    <hyperlink r:id="rId235" ref="A88"/>
    <hyperlink r:id="rId236" ref="F88"/>
    <hyperlink r:id="rId237" ref="G88"/>
    <hyperlink r:id="rId238" ref="H88"/>
    <hyperlink r:id="rId239" ref="A89"/>
    <hyperlink r:id="rId240" ref="F89"/>
    <hyperlink r:id="rId241" ref="G89"/>
    <hyperlink r:id="rId242" ref="H89"/>
    <hyperlink r:id="rId243" ref="I89"/>
    <hyperlink r:id="rId244" ref="A90"/>
    <hyperlink r:id="rId245" ref="A91"/>
    <hyperlink r:id="rId246" ref="A92"/>
    <hyperlink r:id="rId247" ref="A93"/>
    <hyperlink r:id="rId248" ref="A94"/>
    <hyperlink r:id="rId249" ref="A95"/>
    <hyperlink r:id="rId250" ref="F95"/>
    <hyperlink r:id="rId251" ref="G95"/>
    <hyperlink r:id="rId252" ref="A96"/>
    <hyperlink r:id="rId253" ref="A97"/>
    <hyperlink r:id="rId254" ref="A98"/>
    <hyperlink r:id="rId255" ref="F98"/>
    <hyperlink r:id="rId256" ref="G98"/>
    <hyperlink r:id="rId257" ref="H98"/>
    <hyperlink r:id="rId258" ref="I98"/>
    <hyperlink r:id="rId259" ref="A99"/>
    <hyperlink r:id="rId260" ref="F99"/>
    <hyperlink r:id="rId261" ref="A100"/>
    <hyperlink r:id="rId262" ref="F100"/>
    <hyperlink r:id="rId263" ref="A101"/>
    <hyperlink r:id="rId264" ref="A102"/>
    <hyperlink r:id="rId265" ref="F102"/>
    <hyperlink r:id="rId266" ref="G102"/>
    <hyperlink r:id="rId267" ref="A103"/>
    <hyperlink r:id="rId268" ref="F103"/>
    <hyperlink r:id="rId269" ref="A104"/>
    <hyperlink r:id="rId270" ref="A105"/>
    <hyperlink r:id="rId271" ref="A106"/>
    <hyperlink r:id="rId272" ref="A107"/>
    <hyperlink r:id="rId273" ref="F107"/>
    <hyperlink r:id="rId274" ref="A108"/>
    <hyperlink r:id="rId275" ref="F108"/>
    <hyperlink r:id="rId276" ref="G108"/>
    <hyperlink r:id="rId277" ref="A109"/>
    <hyperlink r:id="rId278" ref="F109"/>
    <hyperlink r:id="rId279" ref="A110"/>
    <hyperlink r:id="rId280" ref="A111"/>
    <hyperlink r:id="rId281" ref="A112"/>
    <hyperlink r:id="rId282" ref="F112"/>
    <hyperlink r:id="rId283" ref="G112"/>
    <hyperlink r:id="rId284" ref="H112"/>
    <hyperlink r:id="rId285" ref="A113"/>
    <hyperlink r:id="rId286" ref="A114"/>
    <hyperlink r:id="rId287" ref="A115"/>
    <hyperlink r:id="rId288" ref="A116"/>
    <hyperlink r:id="rId289" ref="F116"/>
    <hyperlink r:id="rId290" ref="G116"/>
    <hyperlink r:id="rId291" ref="H116"/>
    <hyperlink r:id="rId292" ref="I116"/>
    <hyperlink r:id="rId293" ref="A117"/>
    <hyperlink r:id="rId294" ref="F117"/>
    <hyperlink r:id="rId295" ref="A118"/>
    <hyperlink r:id="rId296" ref="F118"/>
    <hyperlink r:id="rId297" ref="G118"/>
    <hyperlink r:id="rId298" ref="H118"/>
    <hyperlink r:id="rId299" ref="I118"/>
    <hyperlink r:id="rId300" ref="J118"/>
    <hyperlink r:id="rId301" ref="K118"/>
    <hyperlink r:id="rId302" ref="L118"/>
    <hyperlink r:id="rId303" ref="M118"/>
    <hyperlink r:id="rId304" ref="A119"/>
    <hyperlink r:id="rId305" ref="A120"/>
    <hyperlink r:id="rId306" ref="A121"/>
    <hyperlink r:id="rId307" ref="A122"/>
    <hyperlink r:id="rId308" ref="F122"/>
    <hyperlink r:id="rId309" ref="G122"/>
    <hyperlink r:id="rId310" ref="H122"/>
    <hyperlink r:id="rId311" ref="I122"/>
    <hyperlink r:id="rId312" ref="J122"/>
    <hyperlink r:id="rId313" ref="A123"/>
    <hyperlink r:id="rId314" ref="A124"/>
    <hyperlink r:id="rId315" ref="A125"/>
    <hyperlink r:id="rId316" ref="A126"/>
    <hyperlink r:id="rId317" ref="F126"/>
    <hyperlink r:id="rId318" ref="G126"/>
    <hyperlink r:id="rId319" ref="H126"/>
    <hyperlink r:id="rId320" ref="I126"/>
    <hyperlink r:id="rId321" ref="J126"/>
    <hyperlink r:id="rId322" ref="K126"/>
    <hyperlink r:id="rId323" ref="L126"/>
    <hyperlink r:id="rId324" ref="M126"/>
    <hyperlink r:id="rId325" ref="N126"/>
    <hyperlink r:id="rId326" ref="O126"/>
    <hyperlink r:id="rId327" ref="P126"/>
    <hyperlink r:id="rId328" ref="Q126"/>
    <hyperlink r:id="rId329" ref="A127"/>
    <hyperlink r:id="rId330" ref="F127"/>
    <hyperlink r:id="rId331" ref="G127"/>
    <hyperlink r:id="rId332" ref="H127"/>
    <hyperlink r:id="rId333" ref="I127"/>
    <hyperlink r:id="rId334" ref="J127"/>
    <hyperlink r:id="rId335" ref="K127"/>
    <hyperlink r:id="rId336" ref="L127"/>
    <hyperlink r:id="rId337" ref="A128"/>
    <hyperlink r:id="rId338" ref="A129"/>
    <hyperlink r:id="rId339" ref="A130"/>
    <hyperlink r:id="rId340" ref="A131"/>
    <hyperlink r:id="rId341" ref="F131"/>
    <hyperlink r:id="rId342" ref="A132"/>
    <hyperlink r:id="rId343" ref="A133"/>
    <hyperlink r:id="rId344" ref="F133"/>
    <hyperlink r:id="rId345" ref="G133"/>
    <hyperlink r:id="rId346" ref="A134"/>
    <hyperlink r:id="rId347" ref="F134"/>
    <hyperlink r:id="rId348" ref="G134"/>
    <hyperlink r:id="rId349" ref="A135"/>
    <hyperlink r:id="rId350" ref="A136"/>
    <hyperlink r:id="rId351" ref="A137"/>
    <hyperlink r:id="rId352" ref="A138"/>
    <hyperlink r:id="rId353" ref="F138"/>
    <hyperlink r:id="rId354" ref="A139"/>
    <hyperlink r:id="rId355" ref="A140"/>
    <hyperlink r:id="rId356" ref="F140"/>
    <hyperlink r:id="rId357" ref="G140"/>
    <hyperlink r:id="rId358" ref="H140"/>
    <hyperlink r:id="rId359" ref="A141"/>
    <hyperlink r:id="rId360" ref="A142"/>
    <hyperlink r:id="rId361" ref="A143"/>
    <hyperlink r:id="rId362" ref="F143"/>
    <hyperlink r:id="rId363" ref="G143"/>
    <hyperlink r:id="rId364" ref="H143"/>
    <hyperlink r:id="rId365" ref="A144"/>
    <hyperlink r:id="rId366" ref="A145"/>
    <hyperlink r:id="rId367" ref="F145"/>
    <hyperlink r:id="rId368" ref="G145"/>
    <hyperlink r:id="rId369" ref="H145"/>
    <hyperlink r:id="rId370" ref="I145"/>
    <hyperlink r:id="rId371" ref="J145"/>
    <hyperlink r:id="rId372" ref="K145"/>
    <hyperlink r:id="rId373" ref="L145"/>
    <hyperlink r:id="rId374" ref="A146"/>
    <hyperlink r:id="rId375" ref="A147"/>
    <hyperlink r:id="rId376" ref="F147"/>
    <hyperlink r:id="rId377" ref="G147"/>
    <hyperlink r:id="rId378" ref="H147"/>
    <hyperlink r:id="rId379" ref="I147"/>
    <hyperlink r:id="rId380" ref="J147"/>
    <hyperlink r:id="rId381" ref="K147"/>
    <hyperlink r:id="rId382" ref="L147"/>
    <hyperlink r:id="rId383" ref="M147"/>
    <hyperlink r:id="rId384" ref="N147"/>
    <hyperlink r:id="rId385" ref="O147"/>
    <hyperlink r:id="rId386" ref="P147"/>
    <hyperlink r:id="rId387" ref="Q147"/>
    <hyperlink r:id="rId388" ref="R147"/>
    <hyperlink r:id="rId389" ref="S147"/>
    <hyperlink r:id="rId390" ref="T147"/>
    <hyperlink r:id="rId391" ref="U147"/>
    <hyperlink r:id="rId392" ref="V147"/>
    <hyperlink r:id="rId393" ref="W147"/>
    <hyperlink r:id="rId394" ref="X147"/>
    <hyperlink r:id="rId395" ref="Y147"/>
    <hyperlink r:id="rId396" ref="Z147"/>
    <hyperlink r:id="rId397" ref="AA147"/>
    <hyperlink r:id="rId398" ref="AB147"/>
    <hyperlink r:id="rId399" ref="AC147"/>
    <hyperlink r:id="rId400" ref="AD147"/>
    <hyperlink r:id="rId401" ref="AE147"/>
    <hyperlink r:id="rId402" ref="AF147"/>
    <hyperlink r:id="rId403" ref="AG147"/>
    <hyperlink r:id="rId404" ref="AH147"/>
    <hyperlink r:id="rId405" ref="AI147"/>
    <hyperlink r:id="rId406" ref="AJ147"/>
    <hyperlink r:id="rId407" ref="AK147"/>
    <hyperlink r:id="rId408" ref="AL147"/>
    <hyperlink r:id="rId409" ref="AM147"/>
    <hyperlink r:id="rId410" ref="AN147"/>
    <hyperlink r:id="rId411" ref="A148"/>
    <hyperlink r:id="rId412" ref="F148"/>
    <hyperlink r:id="rId413" ref="A149"/>
    <hyperlink r:id="rId414" ref="A150"/>
    <hyperlink r:id="rId415" ref="F150"/>
    <hyperlink r:id="rId416" ref="G150"/>
    <hyperlink r:id="rId417" ref="A151"/>
    <hyperlink r:id="rId418" ref="F151"/>
    <hyperlink r:id="rId419" ref="G151"/>
    <hyperlink r:id="rId420" ref="H151"/>
    <hyperlink r:id="rId421" ref="I151"/>
    <hyperlink r:id="rId422" ref="J151"/>
    <hyperlink r:id="rId423" ref="A152"/>
    <hyperlink r:id="rId424" ref="A153"/>
    <hyperlink r:id="rId425" ref="A154"/>
    <hyperlink r:id="rId426" ref="A155"/>
    <hyperlink r:id="rId427" ref="F155"/>
    <hyperlink r:id="rId428" ref="A156"/>
    <hyperlink r:id="rId429" ref="F156"/>
    <hyperlink r:id="rId430" ref="A157"/>
    <hyperlink r:id="rId431" ref="F157"/>
    <hyperlink r:id="rId432" ref="A158"/>
    <hyperlink r:id="rId433" ref="F158"/>
    <hyperlink r:id="rId434" ref="G158"/>
    <hyperlink r:id="rId435" ref="H158"/>
    <hyperlink r:id="rId436" ref="I158"/>
    <hyperlink r:id="rId437" ref="J158"/>
    <hyperlink r:id="rId438" ref="K158"/>
    <hyperlink r:id="rId439" ref="L158"/>
    <hyperlink r:id="rId440" ref="M158"/>
    <hyperlink r:id="rId441" ref="N158"/>
    <hyperlink r:id="rId442" ref="O158"/>
    <hyperlink r:id="rId443" ref="P158"/>
    <hyperlink r:id="rId444" ref="A159"/>
    <hyperlink r:id="rId445" ref="A160"/>
    <hyperlink r:id="rId446" ref="F160"/>
    <hyperlink r:id="rId447" ref="A161"/>
    <hyperlink r:id="rId448" ref="F161"/>
    <hyperlink r:id="rId449" ref="G161"/>
    <hyperlink r:id="rId450" ref="H161"/>
    <hyperlink r:id="rId451" ref="I161"/>
    <hyperlink r:id="rId452" ref="A162"/>
    <hyperlink r:id="rId453" ref="F162"/>
    <hyperlink r:id="rId454" ref="G162"/>
    <hyperlink r:id="rId455" ref="H162"/>
    <hyperlink r:id="rId456" ref="I162"/>
    <hyperlink r:id="rId457" ref="J162"/>
    <hyperlink r:id="rId458" ref="A163"/>
    <hyperlink r:id="rId459" ref="A164"/>
    <hyperlink r:id="rId460" ref="F164"/>
    <hyperlink r:id="rId461" ref="G164"/>
    <hyperlink r:id="rId462" ref="H164"/>
    <hyperlink r:id="rId463" ref="A165"/>
    <hyperlink r:id="rId464" ref="F165"/>
    <hyperlink r:id="rId465" ref="G165"/>
    <hyperlink r:id="rId466" ref="H165"/>
    <hyperlink r:id="rId467" ref="I165"/>
    <hyperlink r:id="rId468" ref="J165"/>
    <hyperlink r:id="rId469" ref="K165"/>
    <hyperlink r:id="rId470" ref="L165"/>
    <hyperlink r:id="rId471" ref="M165"/>
    <hyperlink r:id="rId472" ref="N165"/>
    <hyperlink r:id="rId473" ref="O165"/>
    <hyperlink r:id="rId474" ref="P165"/>
    <hyperlink r:id="rId475" ref="Q165"/>
    <hyperlink r:id="rId476" ref="R165"/>
    <hyperlink r:id="rId477" ref="S165"/>
    <hyperlink r:id="rId478" ref="T165"/>
    <hyperlink r:id="rId479" ref="U165"/>
    <hyperlink r:id="rId480" ref="V165"/>
    <hyperlink r:id="rId481" ref="W165"/>
    <hyperlink r:id="rId482" ref="X165"/>
    <hyperlink r:id="rId483" ref="Y165"/>
    <hyperlink r:id="rId484" ref="Z165"/>
    <hyperlink r:id="rId485" ref="AA165"/>
    <hyperlink r:id="rId486" ref="AB165"/>
    <hyperlink r:id="rId487" ref="A166"/>
    <hyperlink r:id="rId488" ref="F166"/>
    <hyperlink r:id="rId489" ref="G166"/>
    <hyperlink r:id="rId490" ref="H166"/>
    <hyperlink r:id="rId491" ref="I166"/>
    <hyperlink r:id="rId492" ref="A167"/>
    <hyperlink r:id="rId493" ref="F167"/>
    <hyperlink r:id="rId494" ref="A168"/>
    <hyperlink r:id="rId495" ref="F168"/>
    <hyperlink r:id="rId496" ref="G168"/>
    <hyperlink r:id="rId497" ref="H168"/>
    <hyperlink r:id="rId498" ref="I168"/>
  </hyperlinks>
  <drawing r:id="rId499"/>
  <legacyDrawing r:id="rId500"/>
</worksheet>
</file>